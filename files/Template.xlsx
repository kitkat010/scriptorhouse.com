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D:\DEPARTMENT\CLASSES\2S2024-2025\KIT\TOS\"/>
    </mc:Choice>
  </mc:AlternateContent>
  <xr:revisionPtr revIDLastSave="0" documentId="13_ncr:1_{1B231A42-8A68-44AB-A6AC-CD7BB6A9E39C}" xr6:coauthVersionLast="47" xr6:coauthVersionMax="47" xr10:uidLastSave="{00000000-0000-0000-0000-000000000000}"/>
  <bookViews>
    <workbookView xWindow="-120" yWindow="-120" windowWidth="29040" windowHeight="15720" activeTab="1" xr2:uid="{A124AE67-5C87-434E-B888-6EF2653A9129}"/>
  </bookViews>
  <sheets>
    <sheet name="Sheet1" sheetId="6" r:id="rId1"/>
    <sheet name="WS 101" sheetId="5" r:id="rId2"/>
    <sheet name="Prod Man (2)" sheetId="11" state="hidden" r:id="rId3"/>
    <sheet name="Sheet4" sheetId="9" r:id="rId4"/>
  </sheets>
  <definedNames>
    <definedName name="_xlnm.Print_Area" localSheetId="2">'Prod Man (2)'!$B$35:$U$59</definedName>
    <definedName name="_xlnm.Print_Area" localSheetId="1">'WS 101'!$A$34:$U$49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0" i="5" l="1"/>
  <c r="S29" i="5"/>
  <c r="S28" i="5"/>
  <c r="S27" i="5"/>
  <c r="Q49" i="11" l="1"/>
  <c r="O49" i="11"/>
  <c r="M49" i="11"/>
  <c r="K49" i="11"/>
  <c r="K18" i="11" s="1"/>
  <c r="I49" i="11"/>
  <c r="G49" i="11"/>
  <c r="D49" i="11"/>
  <c r="S48" i="11"/>
  <c r="F48" i="11"/>
  <c r="E48" i="11"/>
  <c r="S47" i="11"/>
  <c r="F47" i="11"/>
  <c r="E47" i="11"/>
  <c r="S46" i="11"/>
  <c r="E46" i="11" s="1"/>
  <c r="F46" i="11"/>
  <c r="S44" i="11"/>
  <c r="S43" i="11"/>
  <c r="S42" i="11"/>
  <c r="S41" i="11"/>
  <c r="S40" i="11"/>
  <c r="F40" i="11"/>
  <c r="E40" i="11"/>
  <c r="S39" i="11"/>
  <c r="S38" i="11"/>
  <c r="S37" i="11"/>
  <c r="S36" i="11"/>
  <c r="S35" i="11"/>
  <c r="F35" i="11"/>
  <c r="E35" i="11"/>
  <c r="S34" i="11"/>
  <c r="S33" i="11"/>
  <c r="S32" i="11"/>
  <c r="S31" i="11"/>
  <c r="S30" i="11"/>
  <c r="F30" i="11"/>
  <c r="E30" i="11"/>
  <c r="S29" i="11"/>
  <c r="S28" i="11"/>
  <c r="S27" i="11"/>
  <c r="S26" i="11"/>
  <c r="S25" i="11"/>
  <c r="F25" i="11"/>
  <c r="E25" i="11"/>
  <c r="S24" i="11"/>
  <c r="S23" i="11"/>
  <c r="S22" i="11"/>
  <c r="S21" i="11"/>
  <c r="S20" i="11"/>
  <c r="F20" i="11"/>
  <c r="E20" i="11"/>
  <c r="S19" i="11"/>
  <c r="F19" i="11"/>
  <c r="F49" i="11" s="1"/>
  <c r="E19" i="11"/>
  <c r="E49" i="11" s="1"/>
  <c r="Q18" i="11"/>
  <c r="O18" i="11"/>
  <c r="M18" i="11"/>
  <c r="I18" i="11"/>
  <c r="G18" i="11"/>
  <c r="W18" i="11" l="1"/>
  <c r="S37" i="5" l="1"/>
  <c r="S36" i="5"/>
  <c r="S35" i="5"/>
  <c r="S34" i="5"/>
  <c r="S43" i="5"/>
  <c r="S33" i="5"/>
  <c r="S32" i="5"/>
  <c r="S26" i="5"/>
  <c r="S25" i="5"/>
  <c r="S24" i="5"/>
  <c r="S21" i="5"/>
  <c r="S22" i="5"/>
  <c r="S23" i="5"/>
  <c r="S20" i="5"/>
  <c r="S23" i="6"/>
  <c r="S29" i="6"/>
  <c r="Q18" i="6" s="1"/>
  <c r="Q29" i="6"/>
  <c r="O29" i="6"/>
  <c r="M29" i="6"/>
  <c r="K29" i="6"/>
  <c r="I29" i="6"/>
  <c r="G29" i="6"/>
  <c r="D29" i="6"/>
  <c r="F28" i="6" s="1"/>
  <c r="S28" i="6"/>
  <c r="S27" i="6"/>
  <c r="S26" i="6"/>
  <c r="S25" i="6"/>
  <c r="S24" i="6"/>
  <c r="S22" i="6"/>
  <c r="S21" i="6"/>
  <c r="S20" i="6"/>
  <c r="S19" i="6"/>
  <c r="F24" i="6" l="1"/>
  <c r="E24" i="6"/>
  <c r="E27" i="6"/>
  <c r="I18" i="6"/>
  <c r="K18" i="6"/>
  <c r="E26" i="6"/>
  <c r="O18" i="6"/>
  <c r="E28" i="6"/>
  <c r="G18" i="6"/>
  <c r="E25" i="6"/>
  <c r="M18" i="6"/>
  <c r="E21" i="6"/>
  <c r="F25" i="6"/>
  <c r="E19" i="6"/>
  <c r="E22" i="6"/>
  <c r="F26" i="6"/>
  <c r="F27" i="6"/>
  <c r="E20" i="6"/>
  <c r="F23" i="6"/>
  <c r="F19" i="6"/>
  <c r="F22" i="6"/>
  <c r="F20" i="6"/>
  <c r="E23" i="6"/>
  <c r="W29" i="6"/>
  <c r="F21" i="6"/>
  <c r="W18" i="6" l="1"/>
  <c r="F29" i="6"/>
  <c r="E29" i="6"/>
  <c r="F32" i="6" l="1"/>
  <c r="Q43" i="5" l="1"/>
  <c r="O43" i="5"/>
  <c r="M43" i="5"/>
  <c r="K43" i="5"/>
  <c r="I43" i="5"/>
  <c r="G43" i="5"/>
  <c r="D43" i="5"/>
  <c r="S42" i="5"/>
  <c r="S41" i="5"/>
  <c r="S40" i="5"/>
  <c r="S39" i="5"/>
  <c r="S38" i="5"/>
  <c r="S31" i="5"/>
  <c r="S19" i="5"/>
  <c r="F20" i="5" l="1"/>
  <c r="F34" i="5"/>
  <c r="F32" i="5"/>
  <c r="F24" i="5"/>
  <c r="F38" i="5"/>
  <c r="E34" i="5"/>
  <c r="E32" i="5"/>
  <c r="E24" i="5"/>
  <c r="E19" i="5"/>
  <c r="E20" i="5"/>
  <c r="Q18" i="5"/>
  <c r="F42" i="5"/>
  <c r="F39" i="5"/>
  <c r="F40" i="5"/>
  <c r="F41" i="5"/>
  <c r="E40" i="5" l="1"/>
  <c r="E38" i="5"/>
  <c r="E39" i="5"/>
  <c r="I18" i="5"/>
  <c r="E42" i="5"/>
  <c r="O18" i="5"/>
  <c r="M18" i="5"/>
  <c r="E41" i="5"/>
  <c r="F19" i="5"/>
  <c r="F43" i="5" s="1"/>
  <c r="G18" i="5"/>
  <c r="K18" i="5"/>
  <c r="W18" i="5" l="1"/>
  <c r="E43" i="5" l="1"/>
</calcChain>
</file>

<file path=xl/sharedStrings.xml><?xml version="1.0" encoding="utf-8"?>
<sst xmlns="http://schemas.openxmlformats.org/spreadsheetml/2006/main" count="295" uniqueCount="177">
  <si>
    <t>LESSON/TOPIC</t>
  </si>
  <si>
    <t>LEARNING OUTCOMES</t>
  </si>
  <si>
    <t>NO. OF TEACHING HOURS</t>
  </si>
  <si>
    <t>% OF ALLOCATION</t>
  </si>
  <si>
    <t>NO. OF ITEMS</t>
  </si>
  <si>
    <t>ITEM SPECIFICATION PER TAXONOMY OF LEARNING</t>
  </si>
  <si>
    <t>KNOWLEDGE/ REMEMBERING</t>
  </si>
  <si>
    <t>COMPREHENSION/ UNDERSTANDING</t>
  </si>
  <si>
    <t>APPLICATION / APPLYING</t>
  </si>
  <si>
    <t>ANALYSIS/ ANALYZING</t>
  </si>
  <si>
    <t>SYNTHESIS/ EVALUATING</t>
  </si>
  <si>
    <t>EVALUATION/ CREATING</t>
  </si>
  <si>
    <t>TOTAL</t>
  </si>
  <si>
    <t>ITEM PLACEMENT</t>
  </si>
  <si>
    <t>%</t>
  </si>
  <si>
    <t>CAMPUS</t>
  </si>
  <si>
    <t>COURSE CODE</t>
  </si>
  <si>
    <t>COURSE TYPE</t>
  </si>
  <si>
    <t>DEPARTMENT</t>
  </si>
  <si>
    <t>TYPE OF EXAMINATION</t>
  </si>
  <si>
    <t>DATE OF EXAMINATION</t>
  </si>
  <si>
    <t>BUSINESS &amp; OFFICE ADMINISTRATION</t>
  </si>
  <si>
    <t>SAN CARLOS CITY CAMPUS</t>
  </si>
  <si>
    <t>TABLE OF SPECIFICATION</t>
  </si>
  <si>
    <t>Prepared by:</t>
  </si>
  <si>
    <t>Reviewed by:</t>
  </si>
  <si>
    <t>Approved by:</t>
  </si>
  <si>
    <t>Faculty</t>
  </si>
  <si>
    <t>Campus Executive Director</t>
  </si>
  <si>
    <t>LIZA L. QUIMSON, Ed.D.</t>
  </si>
  <si>
    <t>MARMIE R. POQUIZ, Ph.D.</t>
  </si>
  <si>
    <t>FM-AA-CIA-19</t>
  </si>
  <si>
    <t>Rev. 0</t>
  </si>
  <si>
    <t>total # of items</t>
  </si>
  <si>
    <t>total # of hours</t>
  </si>
  <si>
    <t xml:space="preserve">Total </t>
  </si>
  <si>
    <t>11-Apr-2022</t>
  </si>
  <si>
    <t>Pls input total number of items here</t>
  </si>
  <si>
    <r>
      <t xml:space="preserve">Note: </t>
    </r>
    <r>
      <rPr>
        <sz val="12"/>
        <rFont val="Arial"/>
        <family val="2"/>
      </rPr>
      <t>Always check the number of item specification per taxonomy of learning vs. no. of items if equal.                                                                                                                                          Total below must be equal.                                                                                                                                                                                                                                                                                                         The shaded cells are auto-compute, no need to edit.</t>
    </r>
  </si>
  <si>
    <t>INSTRUCTIONS</t>
  </si>
  <si>
    <t>BA/OA Department Chairperson</t>
  </si>
  <si>
    <t>CHMBAC, College Dean</t>
  </si>
  <si>
    <t>JESSE P. VELASCO, MBA</t>
  </si>
  <si>
    <t>LECTURE</t>
  </si>
  <si>
    <r>
      <t xml:space="preserve">Second Semester AY </t>
    </r>
    <r>
      <rPr>
        <u/>
        <sz val="9"/>
        <color theme="1"/>
        <rFont val="Arial"/>
        <family val="2"/>
      </rPr>
      <t>2024 - 2025</t>
    </r>
  </si>
  <si>
    <t>Discuss the PSU Mission, Vision, Goals, Core Values of PSU, content of syllabus, class policies, and background of the course</t>
  </si>
  <si>
    <t>CHARMAINE P. PINTES, DBA</t>
  </si>
  <si>
    <t>PSU Mission, Vision, Goals, Core Values of PSU, content of syllabus, class policies, and background of the course</t>
  </si>
  <si>
    <t xml:space="preserve">Chapter 1: Introduction to Organizational Behaviour
• 1.1 Definition and Scope of Organizational Behaviour
• 1.2 The Role of Organizational Behaviour in Management
• 1.3 The Impact of Globalization, Technology, and Diversity on Organizations
</t>
  </si>
  <si>
    <t xml:space="preserve">
1.Define the fundamental concepts of organizational Behaviour.
2.Identify the role of perception, personality, and emotions in influencing behavior in organizations.
3.Describe the impact of group dynamics, team roles, and communication on organizational performance.
4. Recognize the significant roles of organizational Behaviour in management.
5.Explain the impact of globalization, technology and diversity on organizations.
</t>
  </si>
  <si>
    <t xml:space="preserve">Chapter 2: Understanding Individual Behaviour
• 2.1 Personality: Traits and Types
• 2.2 Perception and Attribution Processes
• 2.3 Emotional Intelligence and its Impact on Workplace Behaviour
</t>
  </si>
  <si>
    <t xml:space="preserve">1.Identify various personality traits and explain how they influence behavior in the workplace.
2.Explain how perception affects workplace interactions and decision-making, and analyze strategies to manage perceptual differences.
3.Recognize the role of attitudes and values in shaping individual behavior and assess their impact on organizational performance and culture.
4.Describe how emotions and moods influence behavior and performance in the workplace and develop strategies to manage emotional dynamics effectively.
5.Memorize methods to influence and manage individual behavior to align with organizational goals.
</t>
  </si>
  <si>
    <t xml:space="preserve">Chapter 3: Motivation in the Workplace
• 3.1 Contemporary Motivation Theories
• 3.2 Designing Motivating Jobs
• 3.3 Motivational Strategies for Enhancing Employee Performance
</t>
  </si>
  <si>
    <t xml:space="preserve">1.Explain key workplace motivation theories, such as Maslow's Hierarchy of Needs, Herzberg’s Two-Factor Theory, and Vroom’s Expectancy Theory, and apply them to real-world workplace scenarios.
2.Identify the internal (intrinsic) and external (extrinsic) factors that influence employee motivation and performance in different organizational settings.
3.Describe effective motivational strategies that align with organizational goals, including job design, leadership styles, recognition programs, and work-life balance initiatives.
4.Recognize the skills to assess motivation levels within a team or organization, using tools such as surveys or interviews, and recommend improvements to enhance employee engagement and productivity.
5.Memorize motivational techniques to improve employee satisfaction and retention, demonstrating how motivation impacts overall organizational success.
</t>
  </si>
  <si>
    <t xml:space="preserve">Chapter 4: Group Dynamics and Teamwork
• 4.1 Types of Groups: Formal and Informal
• 4.2 Effective Team Building Management
• 4.3 Managing Group Conflict 
</t>
  </si>
  <si>
    <t xml:space="preserve">1.Explain key concepts of group dynamics, including roles, norms, and communication patterns, and their impact on team performance.
2.Identify different roles within a team and assess how these roles contribute to group cohesion and effectiveness.
3.Illustrate effective communication skills by participating in group discussions, facilitating meetings, and providing constructive feedback.
4.Recognize conflict resolution strategies to manage disagreements within a team and maintain a positive working environment.
5.Describe various leadership styles and their effects on group dynamics, identifying strategies for effective team leadership.
</t>
  </si>
  <si>
    <t xml:space="preserve">Chapter 5: Communication in Organizations
• 5.1 Barriers to Effective Communication 
• 5.2 The Role of Non-Verbal Communication
• 5.3 Impact of Communication Technologies
</t>
  </si>
  <si>
    <t xml:space="preserve">1.Identify barriers to effective communication within organizations and propose strategies to overcome these barriers.
2.Define different communication channels (e.g., face-to-face, email, video conferencing) and determine their appropriateness in various organizational contexts.
3.Illustrate effective interpersonal communication skills, including active listening, non-verbal communication, and feedback techniques in both one-on-one and group settings.
4.Explain a crisis communication plan that addresses potential organizational crises, outlining communication strategies and key messages for stakeholders.
5.Recognize a comprehensive communication strategy for an organization, taking into account organizational culture.
</t>
  </si>
  <si>
    <t>PAPER AND PEN</t>
  </si>
  <si>
    <r>
      <t xml:space="preserve">MIDTERM EXAMINATION IN </t>
    </r>
    <r>
      <rPr>
        <u/>
        <sz val="9"/>
        <color theme="1"/>
        <rFont val="Arial"/>
        <family val="2"/>
      </rPr>
      <t>HUMAN BEHAVIOR IN ORGANIZATION</t>
    </r>
  </si>
  <si>
    <r>
      <rPr>
        <u/>
        <sz val="9"/>
        <color theme="1"/>
        <rFont val="Arial"/>
        <family val="2"/>
      </rPr>
      <t xml:space="preserve">SECOND </t>
    </r>
    <r>
      <rPr>
        <sz val="9"/>
        <color theme="1"/>
        <rFont val="Arial"/>
        <family val="2"/>
      </rPr>
      <t xml:space="preserve">Semester AY </t>
    </r>
    <r>
      <rPr>
        <u/>
        <sz val="9"/>
        <color theme="1"/>
        <rFont val="Arial"/>
        <family val="2"/>
      </rPr>
      <t>2024 - 2025</t>
    </r>
  </si>
  <si>
    <t>MGT 102</t>
  </si>
  <si>
    <t>51-52</t>
  </si>
  <si>
    <t>35-37</t>
  </si>
  <si>
    <t>REMEMBERING</t>
  </si>
  <si>
    <t>Remember</t>
  </si>
  <si>
    <t>Understand</t>
  </si>
  <si>
    <t>Abstract, Associate, Categorize, Clarify, Classify,Compare, Conclude, Contrast, Exemplify, Explain, Extrapolate, Generalize, Illustrate, Infer, Interpret, Map, Match, Paraphrase, Predict, Represent, Summarize, Translate</t>
  </si>
  <si>
    <t>Apply</t>
  </si>
  <si>
    <t>Apply, Carry out, Demonstrate, Determine, Develop, Employ, Execute, Implement Operatem, Show, Sketch, Solve, Use</t>
  </si>
  <si>
    <t>Analyze</t>
  </si>
  <si>
    <t> Evaluate</t>
  </si>
  <si>
    <t>Create</t>
  </si>
  <si>
    <t>Assemble, Build, Combine, Compose, Construct, Create, Design, Draft, Formulate, Generate, Hypothesize, Integrate, Plan, Produce</t>
  </si>
  <si>
    <t>Analyze, Attribute, Deconstruct, Differentiate, Discriminate, Distinguish, Focus, Organize, Outline, Parse, Select, Structure</t>
  </si>
  <si>
    <t>Arrange, Count, Cite, Count, Define, Describe, Duplicate, Identify, Label, List, Locate, Match, Name, Outline, Recall, Recite, Recognize, Record, Repeat, Restate, Review, Select, State</t>
  </si>
  <si>
    <t>Argue, Assess, Check, Conclude, Coordinate, Criticize, Critique, Detect, Evaluate, Judge, Justify, Monitor, Prioritize, Rank, Rate, Recommend, Test</t>
  </si>
  <si>
    <t>Apply, Carry out, Demonstrate, Determine, Develop, Employ, Execute, Implement Operate, Show, Sketch, Solve, Use</t>
  </si>
  <si>
    <t>1,4,7,27</t>
  </si>
  <si>
    <t>28,29</t>
  </si>
  <si>
    <t>16-17</t>
  </si>
  <si>
    <t>9,30</t>
  </si>
  <si>
    <t>18,32</t>
  </si>
  <si>
    <t>13.31,33</t>
  </si>
  <si>
    <t>6,24</t>
  </si>
  <si>
    <t>5,11</t>
  </si>
  <si>
    <t>8,12,20-21</t>
  </si>
  <si>
    <t>10,42,44-45</t>
  </si>
  <si>
    <t>22,47</t>
  </si>
  <si>
    <t>23,40-41,48</t>
  </si>
  <si>
    <t>49-50</t>
  </si>
  <si>
    <t>DENNIS G. MENDOZA, MBA</t>
  </si>
  <si>
    <r>
      <rPr>
        <u/>
        <sz val="9"/>
        <color theme="1"/>
        <rFont val="Arial"/>
        <family val="2"/>
      </rPr>
      <t>MIDTERM</t>
    </r>
    <r>
      <rPr>
        <sz val="9"/>
        <color theme="1"/>
        <rFont val="Arial"/>
        <family val="2"/>
      </rPr>
      <t xml:space="preserve"> EXAMINATION IN PRODUCT AND BRAND MANAGEMENT</t>
    </r>
  </si>
  <si>
    <t>COURSE ORIENTATION / VMGO</t>
  </si>
  <si>
    <t>1. State the vision, mission, goals and core values of the University                        2.Comment on the requirements and policies of the course and other details written in the syllabus</t>
  </si>
  <si>
    <t>I. Introduction to Product and Brand Management 
1.Definition and Importance of Product Management
2. Evolution of Brand Management
3.Key Roles in Product and Brand Management
4.Overview of the Product Life Cycle
5.The Relationship of Product Strategy with Brand Strategy
     6. How Product and Brand Strategy Work Together</t>
  </si>
  <si>
    <t xml:space="preserve">Understand what product management is and how it contributes to creating customer value and driving business success.
</t>
  </si>
  <si>
    <t>Explain the evolution of brand management and describe its contribution to loyalty building and emotional attachment with the customers.</t>
  </si>
  <si>
    <t>Identify key roles and responsibilities in product and brand management and their importance in organizational success.</t>
  </si>
  <si>
    <t>Explain the stages of the Product Life Cycle and how it impacts product strategy and management.</t>
  </si>
  <si>
    <t>Analyze the relationship between product and brand strategies and their combined impact on achieving business goals.</t>
  </si>
  <si>
    <t>II. Product Development and Innovation 
1.Stages of Product Development
2.Idea Generation and Screening
3. Product Concept Testing
4.Concept Testing Process
5. Example of Concept Testing
6.Product Design and Development Process
    7.Innovation Strategies in Product Management</t>
  </si>
  <si>
    <t>Understanding the different stages of product development and how importance it is to bring the product into market.</t>
  </si>
  <si>
    <t>Discuss the processes of idea generation and screening to find potential product concepts.</t>
  </si>
  <si>
    <t>Learn how to conduct product concept testing to assess market feasibility and consumer interest.</t>
  </si>
  <si>
    <t>Understand the product design and development process, emphasizing customer needs, technical feasibility, and market trends.</t>
  </si>
  <si>
    <t>Discuss innovation strategies in product management to stimulate creativity and sustain competitive edge in the market.</t>
  </si>
  <si>
    <t>III.Brand Strategy and Positioning 
1.Defining Brand Identity and Equity
2.Market Segmentation for Brand Positioning
3.Competitive Brand Positioning
4.Key Elements of Competitive Brand Positioning
5.Strategic Considerations for Competitive Brand Positioning
6.Creating and Communicating Brand Value Proposition
7.Creating a Brand Value Proposition
8. Communicating the Brand Value Proposition
9.Brand Positioning Map and its Application
10.Components of a Brand Positioning Map
11.Application of Brand Positioning Map
12.Example of a Brand Positioning Map</t>
  </si>
  <si>
    <t>Understand how to define brand identity and equity and their role in shaping customer perceptions and brand value.</t>
  </si>
  <si>
    <t>Explore market segmentation techniques to identify the target audiences and develop strategies for effective brand positioning.</t>
  </si>
  <si>
    <t>Learn how to produce competitive brand positioning strategies aimed at differentiating a brand within the market.</t>
  </si>
  <si>
    <t>Develop skills in developing and articulating a clear and compelling brand value proposition.</t>
  </si>
  <si>
    <t>Understand how to use a brand positioning map and apply it to refine brand strategies and achieve competitive advantage.</t>
  </si>
  <si>
    <t>IV.Brand Equity and Value Management 
    1.Understanding Brand Equity and its Components
2.Components of Brand Equity
3.The Importance of Brand Equity
4.Measuring Brand Equity
5.Brand Valuation Methods
6.Measuring Brand Performance and Perception
7.Managing Brand Equity Over Time
8.Strategies for Evolving with Consumer Expectations
9.Ways to Maintain Consistency
10.Guidelines for Managing Brand Extensions
11.Crisis Management Techniques
12.Strategies for Reinforcing Brand Loyalty
    13.How to Prevent Brand Dilution</t>
  </si>
  <si>
    <t>Recognize the concept of brand equity and its key constituents, including brand awareness, associations, and loyalty.</t>
  </si>
  <si>
    <t>Examine different approaches to brand valuation to determine the financial value and strategic value of a brand.</t>
  </si>
  <si>
    <t>Learn how to measure brand performance and customer perception in order to assess a brand's market position.</t>
  </si>
  <si>
    <t>Analyze how brands manage their equity over time with consistency and strength.</t>
  </si>
  <si>
    <t>Develop techniques for building and sustaining brand loyalty, fostering deep customer relationships for enduring success.</t>
  </si>
  <si>
    <t>V.Marketing and Advertising for Product and Brand 
1.Integrated Marketing 2.Communication (IMC) Strategies
3.Advertising Campaign Development
4.Digital Marketing and Social Media Strategies
5.Digital Marketing Strategies
6.Social Media Strategies
7.Combination of Digital Marketing and Social Media Strategy
8.Influencer Marketing and Brand Endorsements
9.Influencer Marketing
10. Types of Influencers 11.Advantages of Influencer Marketing
12.Brand Endorsements
13.Types of Brand Endorsements
14.Benefits of Brand Endorsements
15.Differences Between Influencer Marketing and Brand Endorsements
    16. Evaluating the Effectiveness of Advertising Campaigns</t>
  </si>
  <si>
    <t>Understand key elements of IMC strategy and how to craft an integrated message across all media channels.</t>
  </si>
  <si>
    <t>Learn the art of creating effective advertising campaigns that align with brand goals and engage target audiences.</t>
  </si>
  <si>
    <t xml:space="preserve">Explore digital marketing and social media strategies for increasing brand visibility and contact with modern consumers. </t>
  </si>
  <si>
    <t>Explore influencer marketing and brand endorsement within the context of gaining brand credibility and brand growth.</t>
  </si>
  <si>
    <t>Learn how to evaluate the effectiveness of advertising campaigns using metrics and analysis to optimize future efforts.</t>
  </si>
  <si>
    <t>28,30</t>
  </si>
  <si>
    <r>
      <rPr>
        <u/>
        <sz val="9"/>
        <color theme="1"/>
        <rFont val="Arial"/>
        <family val="2"/>
      </rPr>
      <t>MIDTERM</t>
    </r>
    <r>
      <rPr>
        <sz val="9"/>
        <color theme="1"/>
        <rFont val="Arial"/>
        <family val="2"/>
      </rPr>
      <t xml:space="preserve"> EXAMINATION IN  ADMINISTRATIVE OFFICE  PROCEDURES AND MANAGEMENT</t>
    </r>
  </si>
  <si>
    <t>11-12</t>
  </si>
  <si>
    <t>19-20</t>
  </si>
  <si>
    <t>28-29</t>
  </si>
  <si>
    <t>BAYAMBANG CAMPUS</t>
  </si>
  <si>
    <t xml:space="preserve">Preliminaries:
XAMPP installation and configuration
1.	Introductory concepts to PHP
●	Creating PHP code blocks
●	Using variables and constants
●	PHP data types and expressions
●	Decision/Branching Statements
●	Looping Statements
1.1 PHP Form Handling
</t>
  </si>
  <si>
    <t>Understand the use of variables, and data types and operators</t>
  </si>
  <si>
    <t>Explore   conditional and looping statements in PHP</t>
  </si>
  <si>
    <t xml:space="preserve">Demonstrate how to install and configure XAMPP 
</t>
  </si>
  <si>
    <t xml:space="preserve">Learn how to embed PHP scripts into HTML
</t>
  </si>
  <si>
    <t>2.	Functions and Arrays
●	PHP Functions
i.	Built-in Functions
1.	Math Functions
2.	String Functions
3.	Date Functions
ii.	User Defined Functions
●	PHP Arrays</t>
  </si>
  <si>
    <t>Learn how to create and invoke functions</t>
  </si>
  <si>
    <t>Describe the use of parameters in a function</t>
  </si>
  <si>
    <t xml:space="preserve">Discuss the differences between Built-in Functions and User Defined Functions
</t>
  </si>
  <si>
    <t>Understand  the use of global and local scope of variables in a function</t>
  </si>
  <si>
    <t>Discuss how to create an array</t>
  </si>
  <si>
    <t xml:space="preserve">Discover how to access array elements and how to use loops to iterate elements of an array
</t>
  </si>
  <si>
    <t>Identify the indexed, associative and multi-dimensional arrays</t>
  </si>
  <si>
    <t>Explain how to manipulate an array using array functions</t>
  </si>
  <si>
    <t xml:space="preserve">3.  Server Side Validation
Validating User Input using PHP Functions and  RegExp
Exception Handling in PHP
</t>
  </si>
  <si>
    <t>Discover the current techniques and best practices in processing form data in PHP</t>
  </si>
  <si>
    <t>Discuss exception handling in PHP</t>
  </si>
  <si>
    <t xml:space="preserve">4.	PHP and MySQL Database
●	PHP Connect
●	PHP CRUD Application
●	Using Joins
PHP User Authentication Mechanism
●	PHP Sessions 
PHP Include and Require
</t>
  </si>
  <si>
    <t xml:space="preserve">Articulate MySQL databases </t>
  </si>
  <si>
    <t>Write a PHP CRUD application and web application using joins</t>
  </si>
  <si>
    <t xml:space="preserve">Explain how to use of PHP Sessions 
</t>
  </si>
  <si>
    <t xml:space="preserve">Discuss PHP Include and require Functions
</t>
  </si>
  <si>
    <t xml:space="preserve">Advocate and process the VMGO of the university
Be familiar with the rules and policies of the university
</t>
  </si>
  <si>
    <t xml:space="preserve">Course Orientation
VMGO
Quality Policy
Classroom Policies
LMS Orientation
</t>
  </si>
  <si>
    <t>8,22,23</t>
  </si>
  <si>
    <t>1-3</t>
  </si>
  <si>
    <t>4-6</t>
  </si>
  <si>
    <t>7, 9-10</t>
  </si>
  <si>
    <t>13-14</t>
  </si>
  <si>
    <t>21, 24-27, 30</t>
  </si>
  <si>
    <t>41-43</t>
  </si>
  <si>
    <t>37,  44-45</t>
  </si>
  <si>
    <t>34-36, 38-40</t>
  </si>
  <si>
    <t>31-32</t>
  </si>
  <si>
    <t>33, 46, 49</t>
  </si>
  <si>
    <t>47-48, 50</t>
  </si>
  <si>
    <t>WS 101</t>
  </si>
  <si>
    <t>LECTURE/LAB</t>
  </si>
  <si>
    <t>KIM ERIC B. NANLABI</t>
  </si>
  <si>
    <t>IT Department</t>
  </si>
  <si>
    <t>CAST, College Dean</t>
  </si>
  <si>
    <t>GUDELIA M. SAMSON, DBA</t>
  </si>
  <si>
    <t>GHANA L. CAHATOL, DBA</t>
  </si>
  <si>
    <t>JANICE C. FRANCISCO, MIT</t>
  </si>
  <si>
    <r>
      <t xml:space="preserve">First Semester AY </t>
    </r>
    <r>
      <rPr>
        <u/>
        <sz val="9"/>
        <color theme="1"/>
        <rFont val="Arial"/>
        <family val="2"/>
      </rPr>
      <t>2024 - 2025</t>
    </r>
  </si>
  <si>
    <t>INFORMATION TECHNOLOGY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</si>
</sst>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9"/>
      <color theme="1"/>
      <name val="Arial"/>
      <family val="2"/>
    </font>
    <font>
      <b/>
      <sz val="9"/>
      <color theme="1"/>
      <name val="Arial"/>
      <family val="2"/>
    </font>
    <font>
      <u/>
      <sz val="9"/>
      <color theme="1"/>
      <name val="Arial"/>
      <family val="2"/>
    </font>
    <font>
      <b/>
      <sz val="18"/>
      <color theme="1"/>
      <name val="Arial"/>
      <family val="2"/>
    </font>
    <font>
      <i/>
      <sz val="10"/>
      <color theme="1"/>
      <name val="Arial"/>
      <family val="2"/>
    </font>
    <font>
      <b/>
      <sz val="10"/>
      <color theme="1"/>
      <name val="Arial"/>
      <family val="2"/>
    </font>
    <font>
      <b/>
      <sz val="9"/>
      <color theme="0"/>
      <name val="Arial"/>
      <family val="2"/>
    </font>
    <font>
      <b/>
      <u/>
      <sz val="9"/>
      <color theme="1"/>
      <name val="Arial"/>
      <family val="2"/>
    </font>
    <font>
      <sz val="9"/>
      <color theme="0"/>
      <name val="Arial"/>
      <family val="2"/>
    </font>
    <font>
      <b/>
      <sz val="9"/>
      <name val="Arial"/>
      <family val="2"/>
    </font>
    <font>
      <sz val="12"/>
      <color rgb="FFFF0000"/>
      <name val="Arial"/>
      <family val="2"/>
    </font>
    <font>
      <sz val="12"/>
      <name val="Arial"/>
      <family val="2"/>
    </font>
    <font>
      <sz val="15"/>
      <color theme="1"/>
      <name val="Arial"/>
      <family val="2"/>
    </font>
    <font>
      <sz val="9"/>
      <name val="Arial"/>
      <family val="2"/>
    </font>
    <font>
      <b/>
      <sz val="15"/>
      <color theme="1"/>
      <name val="Arial"/>
      <family val="2"/>
    </font>
    <font>
      <b/>
      <sz val="12"/>
      <color rgb="FF262729"/>
      <name val="Arial"/>
      <family val="2"/>
    </font>
    <font>
      <b/>
      <sz val="12"/>
      <color rgb="FFFF0000"/>
      <name val="Arial"/>
      <family val="2"/>
    </font>
    <font>
      <sz val="14"/>
      <color theme="1"/>
      <name val="Arial"/>
      <family val="2"/>
    </font>
    <font>
      <sz val="14"/>
      <color rgb="FFFF0000"/>
      <name val="Arial"/>
      <family val="2"/>
    </font>
    <font>
      <sz val="14"/>
      <color theme="0"/>
      <name val="Arial"/>
      <family val="2"/>
    </font>
    <font>
      <sz val="14"/>
      <name val="Arial"/>
      <family val="2"/>
    </font>
    <font>
      <sz val="8"/>
      <name val="Calibri"/>
      <family val="2"/>
      <scheme val="minor"/>
    </font>
  </fonts>
  <fills count="5">
    <fill>
      <patternFill patternType="none"/>
    </fill>
    <fill>
      <patternFill patternType="gray125"/>
    </fill>
    <fill>
      <patternFill patternType="solid">
        <fgColor theme="2" tint="-0.499984740745262"/>
        <bgColor indexed="64"/>
      </patternFill>
    </fill>
    <fill>
      <patternFill patternType="solid">
        <fgColor rgb="FF92D050"/>
        <bgColor indexed="64"/>
      </patternFill>
    </fill>
    <fill>
      <patternFill patternType="solid">
        <fgColor rgb="FFFFFF00"/>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thin">
        <color indexed="64"/>
      </top>
      <bottom/>
      <diagonal/>
    </border>
    <border>
      <left style="medium">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top/>
      <bottom style="thin">
        <color indexed="64"/>
      </bottom>
      <diagonal/>
    </border>
    <border>
      <left style="thin">
        <color indexed="64"/>
      </left>
      <right style="medium">
        <color indexed="64"/>
      </right>
      <top style="medium">
        <color indexed="64"/>
      </top>
      <bottom/>
      <diagonal/>
    </border>
    <border>
      <left style="thin">
        <color indexed="64"/>
      </left>
      <right/>
      <top style="thin">
        <color indexed="64"/>
      </top>
      <bottom/>
      <diagonal/>
    </border>
    <border>
      <left/>
      <right/>
      <top style="thin">
        <color indexed="64"/>
      </top>
      <bottom/>
      <diagonal/>
    </border>
    <border>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s>
  <cellStyleXfs count="1">
    <xf numFmtId="0" fontId="0" fillId="0" borderId="0"/>
  </cellStyleXfs>
  <cellXfs count="234">
    <xf numFmtId="0" fontId="0" fillId="0" borderId="0" xfId="0"/>
    <xf numFmtId="0" fontId="1" fillId="0" borderId="0" xfId="0" applyFont="1"/>
    <xf numFmtId="0" fontId="1" fillId="0" borderId="0" xfId="0" applyFont="1" applyAlignment="1">
      <alignment vertical="center"/>
    </xf>
    <xf numFmtId="0" fontId="1" fillId="0" borderId="2" xfId="0" applyFont="1" applyBorder="1" applyAlignment="1">
      <alignment vertical="center"/>
    </xf>
    <xf numFmtId="0" fontId="1" fillId="0" borderId="5" xfId="0" applyFont="1" applyBorder="1" applyAlignment="1">
      <alignment vertical="center"/>
    </xf>
    <xf numFmtId="0" fontId="1" fillId="0" borderId="7" xfId="0" applyFont="1" applyBorder="1" applyAlignment="1">
      <alignment vertical="center"/>
    </xf>
    <xf numFmtId="0" fontId="1" fillId="0" borderId="15" xfId="0" applyFont="1" applyBorder="1"/>
    <xf numFmtId="0" fontId="1" fillId="0" borderId="16" xfId="0" applyFont="1" applyBorder="1"/>
    <xf numFmtId="0" fontId="1" fillId="0" borderId="17" xfId="0" applyFont="1" applyBorder="1"/>
    <xf numFmtId="49" fontId="1" fillId="0" borderId="16" xfId="0" applyNumberFormat="1" applyFont="1" applyBorder="1"/>
    <xf numFmtId="0" fontId="1" fillId="3" borderId="0" xfId="0" applyFont="1" applyFill="1" applyAlignment="1">
      <alignment vertical="center" wrapText="1"/>
    </xf>
    <xf numFmtId="0" fontId="1" fillId="3" borderId="0" xfId="0" applyFont="1" applyFill="1" applyAlignment="1">
      <alignment vertical="center"/>
    </xf>
    <xf numFmtId="0" fontId="1" fillId="0" borderId="0" xfId="0" applyFont="1" applyAlignment="1">
      <alignment vertical="center" wrapText="1"/>
    </xf>
    <xf numFmtId="0" fontId="2" fillId="0" borderId="0" xfId="0" applyFont="1" applyAlignment="1">
      <alignment horizontal="center" vertical="center"/>
    </xf>
    <xf numFmtId="0" fontId="2" fillId="0" borderId="0" xfId="0" applyFont="1"/>
    <xf numFmtId="0" fontId="9" fillId="0" borderId="0" xfId="0" applyFont="1" applyAlignment="1">
      <alignment horizontal="center" vertical="center" wrapText="1"/>
    </xf>
    <xf numFmtId="0" fontId="9" fillId="0" borderId="0" xfId="0" applyFont="1" applyAlignment="1">
      <alignment vertical="center" wrapText="1"/>
    </xf>
    <xf numFmtId="0" fontId="9" fillId="0" borderId="0" xfId="0" applyFont="1" applyAlignment="1">
      <alignment vertical="center"/>
    </xf>
    <xf numFmtId="0" fontId="1" fillId="2" borderId="13" xfId="0" applyFont="1" applyFill="1" applyBorder="1"/>
    <xf numFmtId="0" fontId="1" fillId="2" borderId="0" xfId="0" applyFont="1" applyFill="1"/>
    <xf numFmtId="0" fontId="1" fillId="2" borderId="14" xfId="0" applyFont="1" applyFill="1" applyBorder="1"/>
    <xf numFmtId="0" fontId="1" fillId="0" borderId="0" xfId="0" applyFont="1" applyAlignment="1">
      <alignment horizontal="center" vertical="center"/>
    </xf>
    <xf numFmtId="2" fontId="2" fillId="0" borderId="0" xfId="0" applyNumberFormat="1" applyFont="1" applyAlignment="1">
      <alignment horizontal="center" vertical="center"/>
    </xf>
    <xf numFmtId="2" fontId="1" fillId="0" borderId="0" xfId="0" applyNumberFormat="1" applyFont="1"/>
    <xf numFmtId="0" fontId="13" fillId="0" borderId="0" xfId="0" applyFont="1" applyAlignment="1" applyProtection="1">
      <alignment horizontal="center" vertical="center"/>
      <protection locked="0"/>
    </xf>
    <xf numFmtId="0" fontId="11" fillId="0" borderId="0" xfId="0" applyFont="1" applyAlignment="1">
      <alignment horizontal="left" vertical="center" wrapText="1"/>
    </xf>
    <xf numFmtId="2" fontId="1" fillId="0" borderId="21" xfId="0" applyNumberFormat="1" applyFont="1" applyBorder="1" applyAlignment="1" applyProtection="1">
      <alignment horizontal="right" vertical="center"/>
      <protection hidden="1"/>
    </xf>
    <xf numFmtId="0" fontId="1" fillId="0" borderId="22" xfId="0" applyFont="1" applyBorder="1" applyAlignment="1">
      <alignment horizontal="left" vertical="center"/>
    </xf>
    <xf numFmtId="0" fontId="1" fillId="0" borderId="2" xfId="0" applyFont="1" applyBorder="1" applyAlignment="1" applyProtection="1">
      <alignment horizontal="left" vertical="center" wrapText="1"/>
      <protection locked="0"/>
    </xf>
    <xf numFmtId="0" fontId="1" fillId="0" borderId="3" xfId="0" applyFont="1" applyBorder="1" applyAlignment="1" applyProtection="1">
      <alignment horizontal="center" vertical="center"/>
      <protection locked="0"/>
    </xf>
    <xf numFmtId="1" fontId="1" fillId="0" borderId="3" xfId="0" applyNumberFormat="1" applyFont="1" applyBorder="1" applyAlignment="1" applyProtection="1">
      <alignment horizontal="center" vertical="center"/>
      <protection hidden="1"/>
    </xf>
    <xf numFmtId="0" fontId="1" fillId="0" borderId="5" xfId="0" applyFont="1" applyBorder="1" applyAlignment="1" applyProtection="1">
      <alignment horizontal="left" vertical="center" wrapText="1"/>
      <protection locked="0"/>
    </xf>
    <xf numFmtId="0" fontId="1" fillId="0" borderId="1" xfId="0" applyFont="1" applyBorder="1" applyAlignment="1" applyProtection="1">
      <alignment horizontal="left" vertical="center" wrapText="1"/>
      <protection locked="0"/>
    </xf>
    <xf numFmtId="0" fontId="1" fillId="0" borderId="1" xfId="0" applyFont="1" applyBorder="1" applyAlignment="1" applyProtection="1">
      <alignment horizontal="center" vertical="center"/>
      <protection locked="0"/>
    </xf>
    <xf numFmtId="2" fontId="1" fillId="0" borderId="1" xfId="0" applyNumberFormat="1" applyFont="1" applyBorder="1" applyAlignment="1" applyProtection="1">
      <alignment horizontal="center" vertical="center"/>
      <protection hidden="1"/>
    </xf>
    <xf numFmtId="1" fontId="1" fillId="0" borderId="1" xfId="0" applyNumberFormat="1" applyFont="1" applyBorder="1" applyAlignment="1" applyProtection="1">
      <alignment horizontal="center" vertical="center"/>
      <protection hidden="1"/>
    </xf>
    <xf numFmtId="0" fontId="1" fillId="0" borderId="5" xfId="0" applyFont="1" applyBorder="1" applyAlignment="1" applyProtection="1">
      <alignment horizontal="left" vertical="center"/>
      <protection locked="0"/>
    </xf>
    <xf numFmtId="0" fontId="1" fillId="0" borderId="1" xfId="0" applyFont="1" applyBorder="1" applyAlignment="1" applyProtection="1">
      <alignment horizontal="left" vertical="center"/>
      <protection locked="0"/>
    </xf>
    <xf numFmtId="0" fontId="2" fillId="0" borderId="8" xfId="0" applyFont="1" applyBorder="1" applyAlignment="1" applyProtection="1">
      <alignment horizontal="center" vertical="center"/>
      <protection hidden="1"/>
    </xf>
    <xf numFmtId="0" fontId="1" fillId="0" borderId="3" xfId="0" applyFont="1" applyBorder="1" applyAlignment="1" applyProtection="1">
      <alignment horizontal="left" vertical="center" wrapText="1"/>
      <protection locked="0"/>
    </xf>
    <xf numFmtId="2" fontId="2" fillId="0" borderId="8" xfId="0" applyNumberFormat="1" applyFont="1" applyBorder="1" applyAlignment="1" applyProtection="1">
      <alignment horizontal="center" vertical="center"/>
      <protection hidden="1"/>
    </xf>
    <xf numFmtId="2" fontId="10" fillId="0" borderId="8" xfId="0" applyNumberFormat="1" applyFont="1" applyBorder="1" applyAlignment="1" applyProtection="1">
      <alignment horizontal="center" vertical="center"/>
      <protection hidden="1"/>
    </xf>
    <xf numFmtId="2" fontId="1" fillId="0" borderId="3" xfId="0" applyNumberFormat="1" applyFont="1" applyBorder="1" applyAlignment="1" applyProtection="1">
      <alignment horizontal="center" vertical="center"/>
      <protection hidden="1"/>
    </xf>
    <xf numFmtId="0" fontId="1" fillId="0" borderId="32" xfId="0" applyFont="1" applyBorder="1" applyAlignment="1" applyProtection="1">
      <alignment horizontal="left" vertical="center" wrapText="1"/>
      <protection locked="0"/>
    </xf>
    <xf numFmtId="2" fontId="1" fillId="0" borderId="32" xfId="0" applyNumberFormat="1" applyFont="1" applyBorder="1" applyAlignment="1" applyProtection="1">
      <alignment horizontal="center" vertical="center"/>
      <protection hidden="1"/>
    </xf>
    <xf numFmtId="0" fontId="1" fillId="0" borderId="33" xfId="0" applyFont="1" applyBorder="1" applyAlignment="1" applyProtection="1">
      <alignment horizontal="left" wrapText="1"/>
      <protection locked="0"/>
    </xf>
    <xf numFmtId="0" fontId="1" fillId="0" borderId="34" xfId="0" applyFont="1" applyBorder="1" applyAlignment="1" applyProtection="1">
      <alignment horizontal="left" wrapText="1"/>
      <protection locked="0"/>
    </xf>
    <xf numFmtId="0" fontId="1" fillId="0" borderId="34" xfId="0" applyFont="1" applyBorder="1" applyAlignment="1" applyProtection="1">
      <alignment horizontal="left" vertical="center" wrapText="1"/>
      <protection locked="0"/>
    </xf>
    <xf numFmtId="0" fontId="1" fillId="0" borderId="33" xfId="0" applyFont="1" applyBorder="1" applyAlignment="1" applyProtection="1">
      <alignment horizontal="left" vertical="center" wrapText="1"/>
      <protection locked="0"/>
    </xf>
    <xf numFmtId="1" fontId="1" fillId="0" borderId="33" xfId="0" applyNumberFormat="1" applyFont="1" applyBorder="1" applyAlignment="1" applyProtection="1">
      <alignment horizontal="center" vertical="center"/>
      <protection hidden="1"/>
    </xf>
    <xf numFmtId="0" fontId="1" fillId="0" borderId="39" xfId="0" applyFont="1" applyBorder="1" applyAlignment="1" applyProtection="1">
      <alignment horizontal="center" vertical="center"/>
      <protection locked="0"/>
    </xf>
    <xf numFmtId="1" fontId="1" fillId="0" borderId="40" xfId="0" applyNumberFormat="1" applyFont="1" applyBorder="1" applyAlignment="1" applyProtection="1">
      <alignment horizontal="center" vertical="center"/>
      <protection hidden="1"/>
    </xf>
    <xf numFmtId="0" fontId="1" fillId="0" borderId="41" xfId="0" applyFont="1" applyBorder="1" applyAlignment="1" applyProtection="1">
      <alignment horizontal="center" vertical="center"/>
      <protection locked="0"/>
    </xf>
    <xf numFmtId="0" fontId="1" fillId="0" borderId="45" xfId="0" applyFont="1" applyBorder="1" applyAlignment="1" applyProtection="1">
      <alignment horizontal="center" vertical="center"/>
      <protection locked="0"/>
    </xf>
    <xf numFmtId="0" fontId="14" fillId="0" borderId="0" xfId="0" applyFont="1" applyAlignment="1">
      <alignment horizontal="left" vertical="top" wrapText="1"/>
    </xf>
    <xf numFmtId="0" fontId="0" fillId="4" borderId="0" xfId="0" applyFill="1"/>
    <xf numFmtId="1" fontId="2" fillId="0" borderId="8" xfId="0" applyNumberFormat="1" applyFont="1" applyBorder="1" applyAlignment="1" applyProtection="1">
      <alignment horizontal="center" vertical="center"/>
      <protection hidden="1"/>
    </xf>
    <xf numFmtId="1" fontId="10" fillId="0" borderId="8" xfId="0" applyNumberFormat="1" applyFont="1" applyBorder="1" applyAlignment="1" applyProtection="1">
      <alignment horizontal="center" vertical="center"/>
      <protection hidden="1"/>
    </xf>
    <xf numFmtId="0" fontId="1" fillId="0" borderId="41" xfId="0" applyFont="1" applyBorder="1" applyAlignment="1" applyProtection="1">
      <alignment vertical="center" wrapText="1"/>
      <protection locked="0"/>
    </xf>
    <xf numFmtId="0" fontId="17" fillId="0" borderId="46" xfId="0" applyFont="1" applyBorder="1" applyAlignment="1">
      <alignment vertical="center" wrapText="1"/>
    </xf>
    <xf numFmtId="0" fontId="1" fillId="0" borderId="45" xfId="0" applyFont="1" applyBorder="1" applyAlignment="1" applyProtection="1">
      <alignment vertical="center" wrapText="1"/>
      <protection locked="0"/>
    </xf>
    <xf numFmtId="0" fontId="19" fillId="0" borderId="46" xfId="0" applyFont="1" applyBorder="1"/>
    <xf numFmtId="0" fontId="16" fillId="0" borderId="46" xfId="0" applyFont="1" applyBorder="1" applyAlignment="1">
      <alignment vertical="center" wrapText="1"/>
    </xf>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8" fillId="0" borderId="0" xfId="0" applyFont="1" applyAlignment="1">
      <alignment horizontal="center" vertical="center"/>
    </xf>
    <xf numFmtId="0" fontId="17" fillId="0" borderId="25" xfId="0" applyFont="1" applyBorder="1" applyAlignment="1">
      <alignment horizontal="center" vertical="center" wrapText="1"/>
    </xf>
    <xf numFmtId="0" fontId="21" fillId="0" borderId="15" xfId="0" applyFont="1" applyBorder="1" applyAlignment="1">
      <alignment horizontal="left" vertical="center" wrapText="1"/>
    </xf>
    <xf numFmtId="0" fontId="16" fillId="0" borderId="25" xfId="0" applyFont="1" applyBorder="1" applyAlignment="1">
      <alignment horizontal="center" vertical="center" wrapText="1"/>
    </xf>
    <xf numFmtId="0" fontId="19" fillId="0" borderId="25" xfId="0" applyFont="1" applyBorder="1"/>
    <xf numFmtId="0" fontId="20" fillId="0" borderId="16" xfId="0" applyFont="1" applyBorder="1" applyAlignment="1">
      <alignment horizontal="left" vertical="center" wrapText="1"/>
    </xf>
    <xf numFmtId="0" fontId="20" fillId="0" borderId="17" xfId="0" applyFont="1" applyBorder="1" applyAlignment="1">
      <alignment horizontal="left" vertical="center" wrapText="1"/>
    </xf>
    <xf numFmtId="0" fontId="1" fillId="0" borderId="10" xfId="0" applyFont="1" applyBorder="1" applyAlignment="1" applyProtection="1">
      <alignment horizontal="center" vertical="center"/>
      <protection locked="0"/>
    </xf>
    <xf numFmtId="0" fontId="1" fillId="0" borderId="11" xfId="0" applyFont="1" applyBorder="1" applyAlignment="1" applyProtection="1">
      <alignment horizontal="center" vertical="center"/>
      <protection locked="0"/>
    </xf>
    <xf numFmtId="0" fontId="1" fillId="0" borderId="12" xfId="0" applyFont="1" applyBorder="1" applyAlignment="1" applyProtection="1">
      <alignment horizontal="center" vertical="center"/>
      <protection locked="0"/>
    </xf>
    <xf numFmtId="0" fontId="1" fillId="0" borderId="15" xfId="0" applyFont="1" applyBorder="1" applyAlignment="1" applyProtection="1">
      <alignment horizontal="center" vertical="center"/>
      <protection locked="0"/>
    </xf>
    <xf numFmtId="0" fontId="1" fillId="0" borderId="16" xfId="0" applyFont="1" applyBorder="1" applyAlignment="1" applyProtection="1">
      <alignment horizontal="center" vertical="center"/>
      <protection locked="0"/>
    </xf>
    <xf numFmtId="0" fontId="1" fillId="0" borderId="17" xfId="0" applyFont="1" applyBorder="1" applyAlignment="1" applyProtection="1">
      <alignment horizontal="center" vertical="center"/>
      <protection locked="0"/>
    </xf>
    <xf numFmtId="0" fontId="1" fillId="0" borderId="3" xfId="0" applyFont="1" applyBorder="1" applyAlignment="1" applyProtection="1">
      <alignment horizontal="left" vertical="center"/>
      <protection locked="0"/>
    </xf>
    <xf numFmtId="0" fontId="1" fillId="0" borderId="3" xfId="0" applyFont="1" applyBorder="1" applyAlignment="1">
      <alignment horizontal="left" vertical="center"/>
    </xf>
    <xf numFmtId="0" fontId="1" fillId="0" borderId="26" xfId="0" applyFont="1" applyBorder="1" applyAlignment="1" applyProtection="1">
      <alignment horizontal="left" vertical="center"/>
      <protection locked="0"/>
    </xf>
    <xf numFmtId="0" fontId="1" fillId="0" borderId="4" xfId="0" applyFont="1" applyBorder="1" applyAlignment="1" applyProtection="1">
      <alignment horizontal="left" vertical="center"/>
      <protection locked="0"/>
    </xf>
    <xf numFmtId="0" fontId="1" fillId="0" borderId="1" xfId="0" applyFont="1" applyBorder="1" applyAlignment="1" applyProtection="1">
      <alignment horizontal="left" vertical="center"/>
      <protection locked="0"/>
    </xf>
    <xf numFmtId="0" fontId="1" fillId="0" borderId="1" xfId="0" applyFont="1" applyBorder="1" applyAlignment="1">
      <alignment horizontal="left" vertical="center"/>
    </xf>
    <xf numFmtId="0" fontId="1" fillId="0" borderId="20" xfId="0" applyFont="1" applyBorder="1" applyAlignment="1" applyProtection="1">
      <alignment horizontal="left" vertical="center"/>
      <protection locked="0"/>
    </xf>
    <xf numFmtId="0" fontId="1" fillId="0" borderId="6" xfId="0" applyFont="1" applyBorder="1" applyAlignment="1" applyProtection="1">
      <alignment horizontal="left" vertical="center"/>
      <protection locked="0"/>
    </xf>
    <xf numFmtId="0" fontId="5" fillId="0" borderId="0" xfId="0" applyFont="1" applyAlignment="1">
      <alignment horizontal="right"/>
    </xf>
    <xf numFmtId="49" fontId="5" fillId="0" borderId="16" xfId="0" quotePrefix="1" applyNumberFormat="1" applyFont="1" applyBorder="1" applyAlignment="1">
      <alignment horizontal="right"/>
    </xf>
    <xf numFmtId="0" fontId="1" fillId="0" borderId="23" xfId="0" applyFont="1" applyBorder="1" applyAlignment="1">
      <alignment horizontal="center"/>
    </xf>
    <xf numFmtId="0" fontId="1" fillId="0" borderId="24" xfId="0" applyFont="1" applyBorder="1" applyAlignment="1">
      <alignment horizontal="center"/>
    </xf>
    <xf numFmtId="0" fontId="1" fillId="0" borderId="25" xfId="0" applyFont="1" applyBorder="1" applyAlignment="1">
      <alignment horizontal="center"/>
    </xf>
    <xf numFmtId="0" fontId="4" fillId="0" borderId="10" xfId="0" applyFont="1" applyBorder="1" applyAlignment="1">
      <alignment horizontal="center"/>
    </xf>
    <xf numFmtId="0" fontId="4" fillId="0" borderId="11" xfId="0" applyFont="1" applyBorder="1" applyAlignment="1">
      <alignment horizontal="center"/>
    </xf>
    <xf numFmtId="0" fontId="4" fillId="0" borderId="12" xfId="0" applyFont="1" applyBorder="1" applyAlignment="1">
      <alignment horizontal="center"/>
    </xf>
    <xf numFmtId="0" fontId="4" fillId="0" borderId="13" xfId="0" applyFont="1" applyBorder="1" applyAlignment="1">
      <alignment horizontal="center"/>
    </xf>
    <xf numFmtId="0" fontId="4" fillId="0" borderId="0" xfId="0" applyFont="1" applyAlignment="1">
      <alignment horizontal="center"/>
    </xf>
    <xf numFmtId="0" fontId="4" fillId="0" borderId="14" xfId="0" applyFont="1" applyBorder="1" applyAlignment="1">
      <alignment horizontal="center"/>
    </xf>
    <xf numFmtId="0" fontId="1" fillId="0" borderId="13" xfId="0" applyFont="1" applyBorder="1" applyAlignment="1">
      <alignment horizontal="center" vertical="center"/>
    </xf>
    <xf numFmtId="0" fontId="1" fillId="0" borderId="0" xfId="0" applyFont="1" applyAlignment="1">
      <alignment horizontal="center" vertical="center"/>
    </xf>
    <xf numFmtId="0" fontId="1" fillId="0" borderId="14" xfId="0" applyFont="1" applyBorder="1" applyAlignment="1">
      <alignment horizontal="center" vertical="center"/>
    </xf>
    <xf numFmtId="0" fontId="1" fillId="0" borderId="15" xfId="0" applyFont="1" applyBorder="1" applyAlignment="1">
      <alignment horizontal="center" vertical="center"/>
    </xf>
    <xf numFmtId="0" fontId="1" fillId="0" borderId="16" xfId="0" applyFont="1" applyBorder="1" applyAlignment="1">
      <alignment horizontal="center" vertical="center"/>
    </xf>
    <xf numFmtId="0" fontId="1" fillId="0" borderId="17" xfId="0" applyFont="1" applyBorder="1" applyAlignment="1">
      <alignment horizontal="center" vertical="center"/>
    </xf>
    <xf numFmtId="0" fontId="1" fillId="0" borderId="8" xfId="0" applyFont="1" applyBorder="1" applyAlignment="1" applyProtection="1">
      <alignment horizontal="left" vertical="center"/>
      <protection locked="0"/>
    </xf>
    <xf numFmtId="0" fontId="1" fillId="0" borderId="8" xfId="0" applyFont="1" applyBorder="1" applyAlignment="1">
      <alignment horizontal="left" vertical="center"/>
    </xf>
    <xf numFmtId="0" fontId="1" fillId="0" borderId="21" xfId="0" applyFont="1" applyBorder="1" applyAlignment="1" applyProtection="1">
      <alignment horizontal="left" vertical="center"/>
      <protection locked="0"/>
    </xf>
    <xf numFmtId="0" fontId="1" fillId="0" borderId="9" xfId="0" applyFont="1" applyBorder="1" applyAlignment="1" applyProtection="1">
      <alignment horizontal="left" vertical="center"/>
      <protection locked="0"/>
    </xf>
    <xf numFmtId="0" fontId="1" fillId="0" borderId="2" xfId="0" applyFont="1" applyBorder="1" applyAlignment="1">
      <alignment horizontal="center" vertical="center"/>
    </xf>
    <xf numFmtId="0" fontId="1" fillId="0" borderId="5" xfId="0" applyFont="1" applyBorder="1" applyAlignment="1">
      <alignment horizontal="center" vertical="center"/>
    </xf>
    <xf numFmtId="0" fontId="1" fillId="0" borderId="7" xfId="0" applyFont="1" applyBorder="1" applyAlignment="1">
      <alignment horizontal="center" vertical="center"/>
    </xf>
    <xf numFmtId="0" fontId="1" fillId="0" borderId="3" xfId="0" applyFont="1" applyBorder="1" applyAlignment="1">
      <alignment horizontal="center" vertical="center" wrapText="1"/>
    </xf>
    <xf numFmtId="0" fontId="1" fillId="0" borderId="1" xfId="0" applyFont="1" applyBorder="1" applyAlignment="1">
      <alignment horizontal="center" vertical="center" wrapText="1"/>
    </xf>
    <xf numFmtId="0" fontId="1" fillId="0" borderId="8" xfId="0" applyFont="1" applyBorder="1" applyAlignment="1">
      <alignment horizontal="center" vertical="center" wrapText="1"/>
    </xf>
    <xf numFmtId="0" fontId="2" fillId="0" borderId="19" xfId="0" applyFont="1" applyBorder="1" applyAlignment="1">
      <alignment horizontal="center" vertical="center"/>
    </xf>
    <xf numFmtId="0" fontId="2" fillId="0" borderId="3" xfId="0" applyFont="1" applyBorder="1" applyAlignment="1">
      <alignment horizontal="center" vertical="center"/>
    </xf>
    <xf numFmtId="0" fontId="1" fillId="0" borderId="27"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28"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29" xfId="0" applyFont="1" applyBorder="1" applyAlignment="1">
      <alignment horizontal="center" vertical="center" wrapText="1"/>
    </xf>
    <xf numFmtId="0" fontId="1" fillId="0" borderId="17" xfId="0" applyFont="1" applyBorder="1" applyAlignment="1">
      <alignment horizontal="center" vertical="center" wrapText="1"/>
    </xf>
    <xf numFmtId="0" fontId="15" fillId="0" borderId="0" xfId="0" applyFont="1" applyAlignment="1">
      <alignment horizontal="center"/>
    </xf>
    <xf numFmtId="1" fontId="1" fillId="0" borderId="3" xfId="0" applyNumberFormat="1" applyFont="1" applyBorder="1" applyAlignment="1" applyProtection="1">
      <alignment horizontal="center" vertical="center"/>
      <protection locked="0"/>
    </xf>
    <xf numFmtId="2" fontId="1" fillId="0" borderId="3" xfId="0" applyNumberFormat="1"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3" xfId="0" applyFont="1" applyBorder="1" applyAlignment="1" applyProtection="1">
      <alignment horizontal="center" vertical="center" wrapText="1"/>
      <protection locked="0"/>
    </xf>
    <xf numFmtId="0" fontId="1" fillId="0" borderId="4" xfId="0" applyFont="1" applyBorder="1" applyAlignment="1" applyProtection="1">
      <alignment horizontal="center" vertical="center" wrapText="1"/>
      <protection locked="0"/>
    </xf>
    <xf numFmtId="0" fontId="1" fillId="0" borderId="20" xfId="0" applyFont="1" applyBorder="1" applyAlignment="1">
      <alignment horizontal="center" vertical="center" wrapText="1"/>
    </xf>
    <xf numFmtId="0" fontId="1" fillId="0" borderId="1" xfId="0" applyFont="1" applyBorder="1" applyAlignment="1" applyProtection="1">
      <alignment horizontal="center" vertical="center" wrapText="1"/>
      <protection locked="0"/>
    </xf>
    <xf numFmtId="0" fontId="1" fillId="0" borderId="6" xfId="0" applyFont="1" applyBorder="1" applyAlignment="1" applyProtection="1">
      <alignment horizontal="center" vertical="center" wrapText="1"/>
      <protection locked="0"/>
    </xf>
    <xf numFmtId="0" fontId="11" fillId="0" borderId="0" xfId="0" applyFont="1" applyAlignment="1">
      <alignment horizontal="left" vertical="top" wrapText="1"/>
    </xf>
    <xf numFmtId="0" fontId="1" fillId="0" borderId="1" xfId="0" applyFont="1" applyBorder="1" applyAlignment="1" applyProtection="1">
      <alignment horizontal="center" vertical="center"/>
      <protection locked="0"/>
    </xf>
    <xf numFmtId="0" fontId="1" fillId="0" borderId="20" xfId="0" applyFont="1" applyBorder="1" applyAlignment="1" applyProtection="1">
      <alignment horizontal="center" vertical="center"/>
      <protection locked="0"/>
    </xf>
    <xf numFmtId="0" fontId="1" fillId="0" borderId="18" xfId="0" applyFont="1" applyBorder="1" applyAlignment="1" applyProtection="1">
      <alignment horizontal="center" vertical="center"/>
      <protection locked="0"/>
    </xf>
    <xf numFmtId="0" fontId="1" fillId="0" borderId="20" xfId="0" applyFont="1" applyBorder="1" applyAlignment="1" applyProtection="1">
      <alignment horizontal="center" vertical="center" wrapText="1"/>
      <protection locked="0"/>
    </xf>
    <xf numFmtId="0" fontId="1" fillId="0" borderId="30" xfId="0" applyFont="1" applyBorder="1" applyAlignment="1" applyProtection="1">
      <alignment horizontal="center" vertical="center" wrapText="1"/>
      <protection locked="0"/>
    </xf>
    <xf numFmtId="0" fontId="14" fillId="0" borderId="0" xfId="0" applyFont="1" applyAlignment="1">
      <alignment horizontal="left" vertical="top" wrapText="1"/>
    </xf>
    <xf numFmtId="0" fontId="1" fillId="0" borderId="30" xfId="0" applyFont="1" applyBorder="1" applyAlignment="1" applyProtection="1">
      <alignment horizontal="center" vertical="center"/>
      <protection locked="0"/>
    </xf>
    <xf numFmtId="0" fontId="1" fillId="0" borderId="6" xfId="0" applyFont="1" applyBorder="1" applyAlignment="1" applyProtection="1">
      <alignment horizontal="center" vertical="center"/>
      <protection locked="0"/>
    </xf>
    <xf numFmtId="0" fontId="6" fillId="0" borderId="7" xfId="0" applyFont="1" applyBorder="1" applyAlignment="1">
      <alignment horizontal="center" vertical="center"/>
    </xf>
    <xf numFmtId="0" fontId="6" fillId="0" borderId="8" xfId="0" applyFont="1" applyBorder="1" applyAlignment="1">
      <alignment horizontal="center" vertical="center"/>
    </xf>
    <xf numFmtId="2" fontId="2" fillId="0" borderId="21" xfId="0" applyNumberFormat="1" applyFont="1" applyBorder="1" applyAlignment="1" applyProtection="1">
      <alignment horizontal="center" vertical="center"/>
      <protection hidden="1"/>
    </xf>
    <xf numFmtId="0" fontId="2" fillId="0" borderId="22" xfId="0" applyFont="1" applyBorder="1" applyAlignment="1" applyProtection="1">
      <alignment horizontal="center" vertical="center"/>
      <protection hidden="1"/>
    </xf>
    <xf numFmtId="0" fontId="7" fillId="0" borderId="21" xfId="0" applyFont="1" applyBorder="1" applyAlignment="1">
      <alignment horizontal="center" vertical="center"/>
    </xf>
    <xf numFmtId="0" fontId="7" fillId="0" borderId="31" xfId="0" applyFont="1" applyBorder="1" applyAlignment="1">
      <alignment horizontal="center" vertical="center"/>
    </xf>
    <xf numFmtId="0" fontId="1" fillId="0" borderId="0" xfId="0" applyFont="1" applyAlignment="1">
      <alignment horizontal="center"/>
    </xf>
    <xf numFmtId="0" fontId="1" fillId="0" borderId="10" xfId="0" applyFont="1" applyBorder="1" applyAlignment="1">
      <alignment horizontal="left" vertical="center"/>
    </xf>
    <xf numFmtId="0" fontId="1" fillId="0" borderId="11" xfId="0" applyFont="1" applyBorder="1" applyAlignment="1">
      <alignment horizontal="left" vertical="center"/>
    </xf>
    <xf numFmtId="0" fontId="1" fillId="0" borderId="11" xfId="0" applyFont="1" applyBorder="1" applyAlignment="1">
      <alignment horizontal="center"/>
    </xf>
    <xf numFmtId="0" fontId="1" fillId="0" borderId="12" xfId="0" applyFont="1" applyBorder="1" applyAlignment="1">
      <alignment horizontal="left" vertical="center"/>
    </xf>
    <xf numFmtId="0" fontId="8" fillId="0" borderId="13" xfId="0" applyFont="1"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8" fillId="0" borderId="0" xfId="0" applyFont="1" applyAlignment="1" applyProtection="1">
      <alignment horizontal="center" vertical="center"/>
      <protection locked="0"/>
    </xf>
    <xf numFmtId="0" fontId="2" fillId="0" borderId="14" xfId="0" applyFont="1" applyBorder="1" applyAlignment="1" applyProtection="1">
      <alignment horizontal="center" vertical="center"/>
      <protection locked="0"/>
    </xf>
    <xf numFmtId="1" fontId="1" fillId="0" borderId="20" xfId="0" applyNumberFormat="1" applyFont="1" applyBorder="1" applyAlignment="1" applyProtection="1">
      <alignment horizontal="center" vertical="center"/>
      <protection locked="0"/>
    </xf>
    <xf numFmtId="1" fontId="1" fillId="0" borderId="18" xfId="0" applyNumberFormat="1" applyFont="1" applyBorder="1" applyAlignment="1" applyProtection="1">
      <alignment horizontal="center" vertical="center"/>
      <protection locked="0"/>
    </xf>
    <xf numFmtId="0" fontId="1" fillId="0" borderId="18" xfId="0" applyFont="1" applyBorder="1" applyAlignment="1" applyProtection="1">
      <alignment horizontal="center" vertical="center" wrapText="1"/>
      <protection locked="0"/>
    </xf>
    <xf numFmtId="1" fontId="1" fillId="0" borderId="40" xfId="0" applyNumberFormat="1" applyFont="1" applyBorder="1" applyAlignment="1" applyProtection="1">
      <alignment horizontal="center" vertical="center"/>
      <protection locked="0"/>
    </xf>
    <xf numFmtId="0" fontId="1" fillId="0" borderId="40" xfId="0" quotePrefix="1" applyFont="1" applyBorder="1" applyAlignment="1" applyProtection="1">
      <alignment horizontal="center" vertical="center"/>
      <protection locked="0"/>
    </xf>
    <xf numFmtId="0" fontId="1" fillId="0" borderId="42" xfId="0" applyFont="1" applyBorder="1" applyAlignment="1" applyProtection="1">
      <alignment horizontal="center" vertical="center"/>
      <protection locked="0"/>
    </xf>
    <xf numFmtId="1" fontId="1" fillId="0" borderId="1" xfId="0" applyNumberFormat="1" applyFont="1" applyBorder="1" applyAlignment="1" applyProtection="1">
      <alignment horizontal="center" vertical="center"/>
      <protection locked="0"/>
    </xf>
    <xf numFmtId="0" fontId="17" fillId="0" borderId="10" xfId="0" applyFont="1" applyBorder="1" applyAlignment="1">
      <alignment horizontal="center" vertical="center" wrapText="1"/>
    </xf>
    <xf numFmtId="0" fontId="17" fillId="0" borderId="15" xfId="0" applyFont="1" applyBorder="1" applyAlignment="1">
      <alignment horizontal="center" vertical="center" wrapText="1"/>
    </xf>
    <xf numFmtId="0" fontId="18" fillId="0" borderId="10" xfId="0" applyFont="1" applyBorder="1" applyAlignment="1" applyProtection="1">
      <alignment horizontal="left" vertical="center" wrapText="1"/>
      <protection locked="0"/>
    </xf>
    <xf numFmtId="0" fontId="18" fillId="0" borderId="11" xfId="0" applyFont="1" applyBorder="1" applyAlignment="1" applyProtection="1">
      <alignment horizontal="left" vertical="center" wrapText="1"/>
      <protection locked="0"/>
    </xf>
    <xf numFmtId="0" fontId="18" fillId="0" borderId="12" xfId="0" applyFont="1" applyBorder="1" applyAlignment="1" applyProtection="1">
      <alignment horizontal="left" vertical="center" wrapText="1"/>
      <protection locked="0"/>
    </xf>
    <xf numFmtId="0" fontId="18" fillId="0" borderId="15" xfId="0" applyFont="1" applyBorder="1" applyAlignment="1" applyProtection="1">
      <alignment horizontal="left" vertical="center" wrapText="1"/>
      <protection locked="0"/>
    </xf>
    <xf numFmtId="0" fontId="18" fillId="0" borderId="16" xfId="0" applyFont="1" applyBorder="1" applyAlignment="1" applyProtection="1">
      <alignment horizontal="left" vertical="center" wrapText="1"/>
      <protection locked="0"/>
    </xf>
    <xf numFmtId="0" fontId="18" fillId="0" borderId="17" xfId="0" applyFont="1" applyBorder="1" applyAlignment="1" applyProtection="1">
      <alignment horizontal="left" vertical="center" wrapText="1"/>
      <protection locked="0"/>
    </xf>
    <xf numFmtId="15" fontId="1" fillId="0" borderId="8" xfId="0" applyNumberFormat="1" applyFont="1" applyBorder="1" applyAlignment="1" applyProtection="1">
      <alignment horizontal="center" vertical="center"/>
      <protection locked="0"/>
    </xf>
    <xf numFmtId="0" fontId="1" fillId="0" borderId="8" xfId="0" applyFont="1" applyBorder="1" applyAlignment="1" applyProtection="1">
      <alignment horizontal="center" vertical="center"/>
      <protection locked="0"/>
    </xf>
    <xf numFmtId="0" fontId="1" fillId="0" borderId="21" xfId="0" applyFont="1" applyBorder="1" applyAlignment="1" applyProtection="1">
      <alignment horizontal="center" vertical="center"/>
      <protection locked="0"/>
    </xf>
    <xf numFmtId="0" fontId="1" fillId="0" borderId="9" xfId="0" applyFont="1" applyBorder="1" applyAlignment="1" applyProtection="1">
      <alignment horizontal="center" vertical="center"/>
      <protection locked="0"/>
    </xf>
    <xf numFmtId="0" fontId="1" fillId="0" borderId="1" xfId="0" quotePrefix="1" applyFont="1" applyBorder="1" applyAlignment="1" applyProtection="1">
      <alignment horizontal="center" vertical="center" wrapText="1"/>
      <protection locked="0"/>
    </xf>
    <xf numFmtId="16" fontId="1" fillId="0" borderId="43" xfId="0" quotePrefix="1" applyNumberFormat="1" applyFont="1" applyBorder="1" applyAlignment="1" applyProtection="1">
      <alignment horizontal="center" vertical="center" wrapText="1"/>
      <protection locked="0"/>
    </xf>
    <xf numFmtId="0" fontId="1" fillId="0" borderId="37" xfId="0" applyFont="1" applyBorder="1" applyAlignment="1" applyProtection="1">
      <alignment horizontal="center" vertical="center" wrapText="1"/>
      <protection locked="0"/>
    </xf>
    <xf numFmtId="16" fontId="1" fillId="0" borderId="1" xfId="0" quotePrefix="1" applyNumberFormat="1" applyFont="1" applyBorder="1" applyAlignment="1" applyProtection="1">
      <alignment horizontal="center" vertical="center"/>
      <protection locked="0"/>
    </xf>
    <xf numFmtId="0" fontId="1" fillId="0" borderId="41" xfId="0" applyFont="1" applyBorder="1" applyAlignment="1" applyProtection="1">
      <alignment horizontal="center" vertical="center"/>
      <protection locked="0"/>
    </xf>
    <xf numFmtId="0" fontId="1" fillId="0" borderId="45" xfId="0" applyFont="1" applyBorder="1" applyAlignment="1" applyProtection="1">
      <alignment horizontal="center" vertical="center"/>
      <protection locked="0"/>
    </xf>
    <xf numFmtId="0" fontId="1" fillId="0" borderId="39" xfId="0" applyFont="1" applyBorder="1" applyAlignment="1" applyProtection="1">
      <alignment horizontal="center" vertical="center"/>
      <protection locked="0"/>
    </xf>
    <xf numFmtId="1" fontId="2" fillId="0" borderId="21" xfId="0" applyNumberFormat="1" applyFont="1" applyBorder="1" applyAlignment="1" applyProtection="1">
      <alignment horizontal="center" vertical="center"/>
      <protection hidden="1"/>
    </xf>
    <xf numFmtId="1" fontId="2" fillId="0" borderId="22" xfId="0" applyNumberFormat="1" applyFont="1" applyBorder="1" applyAlignment="1" applyProtection="1">
      <alignment horizontal="center" vertical="center"/>
      <protection hidden="1"/>
    </xf>
    <xf numFmtId="0" fontId="1" fillId="0" borderId="50" xfId="0" applyFont="1" applyBorder="1" applyAlignment="1" applyProtection="1">
      <alignment horizontal="left" vertical="center" wrapText="1"/>
      <protection locked="0"/>
    </xf>
    <xf numFmtId="0" fontId="1" fillId="0" borderId="51" xfId="0" applyFont="1" applyBorder="1" applyAlignment="1" applyProtection="1">
      <alignment horizontal="left" vertical="center" wrapText="1"/>
      <protection locked="0"/>
    </xf>
    <xf numFmtId="0" fontId="1" fillId="0" borderId="37" xfId="0" applyFont="1" applyBorder="1" applyAlignment="1" applyProtection="1">
      <alignment horizontal="center" vertical="center"/>
      <protection locked="0"/>
    </xf>
    <xf numFmtId="0" fontId="1" fillId="0" borderId="38" xfId="0" applyFont="1" applyBorder="1" applyAlignment="1" applyProtection="1">
      <alignment horizontal="center" vertical="center"/>
      <protection locked="0"/>
    </xf>
    <xf numFmtId="1" fontId="1" fillId="0" borderId="40" xfId="0" applyNumberFormat="1" applyFont="1" applyBorder="1" applyAlignment="1" applyProtection="1">
      <alignment horizontal="center" vertical="center"/>
      <protection hidden="1"/>
    </xf>
    <xf numFmtId="1" fontId="1" fillId="0" borderId="34" xfId="0" applyNumberFormat="1" applyFont="1" applyBorder="1" applyAlignment="1" applyProtection="1">
      <alignment horizontal="center" vertical="center"/>
      <protection hidden="1"/>
    </xf>
    <xf numFmtId="1" fontId="1" fillId="0" borderId="33" xfId="0" applyNumberFormat="1" applyFont="1" applyBorder="1" applyAlignment="1" applyProtection="1">
      <alignment horizontal="center" vertical="center"/>
      <protection hidden="1"/>
    </xf>
    <xf numFmtId="0" fontId="1" fillId="0" borderId="35" xfId="0" applyFont="1" applyBorder="1" applyAlignment="1" applyProtection="1">
      <alignment horizontal="left" vertical="center" wrapText="1"/>
      <protection locked="0"/>
    </xf>
    <xf numFmtId="0" fontId="1" fillId="0" borderId="13" xfId="0" applyFont="1" applyBorder="1" applyAlignment="1" applyProtection="1">
      <alignment horizontal="left" vertical="center" wrapText="1"/>
      <protection locked="0"/>
    </xf>
    <xf numFmtId="0" fontId="1" fillId="0" borderId="36" xfId="0" applyFont="1" applyBorder="1" applyAlignment="1" applyProtection="1">
      <alignment horizontal="left" vertical="center" wrapText="1"/>
      <protection locked="0"/>
    </xf>
    <xf numFmtId="1" fontId="1" fillId="0" borderId="32" xfId="0" applyNumberFormat="1" applyFont="1" applyBorder="1" applyAlignment="1" applyProtection="1">
      <alignment horizontal="center" vertical="center"/>
      <protection hidden="1"/>
    </xf>
    <xf numFmtId="0" fontId="1" fillId="0" borderId="44" xfId="0" applyFont="1" applyBorder="1" applyAlignment="1" applyProtection="1">
      <alignment horizontal="center" vertical="center" wrapText="1"/>
      <protection locked="0"/>
    </xf>
    <xf numFmtId="1" fontId="1" fillId="0" borderId="44" xfId="0" applyNumberFormat="1" applyFont="1" applyBorder="1" applyAlignment="1" applyProtection="1">
      <alignment horizontal="center" vertical="center"/>
      <protection locked="0"/>
    </xf>
    <xf numFmtId="1" fontId="1" fillId="0" borderId="43" xfId="0" applyNumberFormat="1" applyFont="1" applyBorder="1" applyAlignment="1" applyProtection="1">
      <alignment horizontal="center" vertical="center"/>
      <protection locked="0"/>
    </xf>
    <xf numFmtId="1" fontId="1" fillId="0" borderId="37" xfId="0" applyNumberFormat="1" applyFont="1" applyBorder="1" applyAlignment="1" applyProtection="1">
      <alignment horizontal="center" vertical="center"/>
      <protection locked="0"/>
    </xf>
    <xf numFmtId="0" fontId="1" fillId="0" borderId="33" xfId="0" applyFont="1" applyBorder="1" applyAlignment="1" applyProtection="1">
      <alignment horizontal="center" vertical="center"/>
      <protection locked="0"/>
    </xf>
    <xf numFmtId="0" fontId="1" fillId="0" borderId="34" xfId="0" applyFont="1" applyBorder="1" applyAlignment="1" applyProtection="1">
      <alignment horizontal="center" vertical="center"/>
      <protection locked="0"/>
    </xf>
    <xf numFmtId="0" fontId="21" fillId="0" borderId="15" xfId="0" applyFont="1" applyBorder="1" applyAlignment="1">
      <alignment horizontal="left" vertical="center" wrapText="1"/>
    </xf>
    <xf numFmtId="0" fontId="21" fillId="0" borderId="16" xfId="0" applyFont="1" applyBorder="1" applyAlignment="1">
      <alignment horizontal="left" vertical="center" wrapText="1"/>
    </xf>
    <xf numFmtId="0" fontId="21" fillId="0" borderId="17" xfId="0" applyFont="1" applyBorder="1" applyAlignment="1">
      <alignment horizontal="left" vertical="center" wrapText="1"/>
    </xf>
    <xf numFmtId="0" fontId="18" fillId="0" borderId="47" xfId="0" applyFont="1" applyBorder="1" applyAlignment="1" applyProtection="1">
      <alignment horizontal="left" vertical="center" wrapText="1"/>
      <protection locked="0"/>
    </xf>
    <xf numFmtId="0" fontId="18" fillId="0" borderId="48" xfId="0" applyFont="1" applyBorder="1" applyAlignment="1" applyProtection="1">
      <alignment horizontal="left" vertical="center" wrapText="1"/>
      <protection locked="0"/>
    </xf>
    <xf numFmtId="0" fontId="21" fillId="0" borderId="49" xfId="0" applyFont="1" applyBorder="1" applyAlignment="1">
      <alignment horizontal="left" vertical="center" wrapText="1"/>
    </xf>
    <xf numFmtId="0" fontId="20" fillId="0" borderId="47" xfId="0" applyFont="1" applyBorder="1" applyAlignment="1">
      <alignment horizontal="left" vertical="center" wrapText="1"/>
    </xf>
    <xf numFmtId="0" fontId="20" fillId="0" borderId="48" xfId="0" applyFont="1" applyBorder="1" applyAlignment="1">
      <alignment horizontal="left" vertical="center" wrapText="1"/>
    </xf>
    <xf numFmtId="0" fontId="17" fillId="0" borderId="24" xfId="0" applyFont="1" applyBorder="1" applyAlignment="1">
      <alignment horizontal="center" vertical="center" wrapText="1"/>
    </xf>
    <xf numFmtId="0" fontId="17" fillId="0" borderId="25" xfId="0" applyFont="1" applyBorder="1" applyAlignment="1">
      <alignment horizontal="center" vertical="center" wrapText="1"/>
    </xf>
    <xf numFmtId="0" fontId="21" fillId="0" borderId="13" xfId="0" applyFont="1" applyBorder="1" applyAlignment="1">
      <alignment horizontal="left" vertical="center" wrapText="1"/>
    </xf>
    <xf numFmtId="0" fontId="21" fillId="0" borderId="0" xfId="0" applyFont="1" applyAlignment="1">
      <alignment horizontal="left" vertical="center" wrapText="1"/>
    </xf>
    <xf numFmtId="0" fontId="21" fillId="0" borderId="14" xfId="0" applyFont="1" applyBorder="1" applyAlignment="1">
      <alignment horizontal="left" vertical="center" wrapText="1"/>
    </xf>
    <xf numFmtId="0" fontId="16" fillId="0" borderId="24" xfId="0" applyFont="1" applyBorder="1" applyAlignment="1">
      <alignment horizontal="center" vertical="center" wrapText="1"/>
    </xf>
    <xf numFmtId="0" fontId="16" fillId="0" borderId="25" xfId="0" applyFont="1" applyBorder="1" applyAlignment="1">
      <alignment horizontal="center" vertical="center" wrapText="1"/>
    </xf>
    <xf numFmtId="0" fontId="21" fillId="0" borderId="13" xfId="0" applyFont="1" applyBorder="1" applyAlignment="1">
      <alignment horizontal="center" vertical="center" wrapText="1"/>
    </xf>
    <xf numFmtId="0" fontId="21" fillId="0" borderId="0" xfId="0" applyFont="1" applyAlignment="1">
      <alignment horizontal="center" vertical="center" wrapText="1"/>
    </xf>
    <xf numFmtId="0" fontId="21" fillId="0" borderId="14" xfId="0" applyFont="1" applyBorder="1" applyAlignment="1">
      <alignment horizontal="center" vertical="center" wrapText="1"/>
    </xf>
    <xf numFmtId="0" fontId="21" fillId="0" borderId="15" xfId="0" applyFont="1" applyBorder="1" applyAlignment="1">
      <alignment horizontal="center" vertical="center" wrapText="1"/>
    </xf>
    <xf numFmtId="0" fontId="21" fillId="0" borderId="16" xfId="0" applyFont="1" applyBorder="1" applyAlignment="1">
      <alignment horizontal="center" vertical="center" wrapText="1"/>
    </xf>
    <xf numFmtId="0" fontId="21" fillId="0" borderId="17" xfId="0" applyFont="1" applyBorder="1" applyAlignment="1">
      <alignment horizontal="center" vertical="center" wrapText="1"/>
    </xf>
    <xf numFmtId="0" fontId="1" fillId="0" borderId="40" xfId="0" applyFont="1" applyBorder="1" applyAlignment="1" applyProtection="1">
      <alignment horizontal="center" vertical="center"/>
      <protection locked="0"/>
    </xf>
    <xf numFmtId="1" fontId="1" fillId="0" borderId="43" xfId="0" applyNumberFormat="1" applyFont="1" applyBorder="1" applyAlignment="1" applyProtection="1">
      <alignment horizontal="center" vertical="center"/>
      <protection hidden="1"/>
    </xf>
    <xf numFmtId="1" fontId="1" fillId="0" borderId="28" xfId="0" applyNumberFormat="1" applyFont="1" applyBorder="1" applyAlignment="1" applyProtection="1">
      <alignment horizontal="center" vertical="center"/>
      <protection hidden="1"/>
    </xf>
    <xf numFmtId="0" fontId="17" fillId="0" borderId="13" xfId="0" applyFont="1" applyBorder="1" applyAlignment="1">
      <alignment horizontal="center" vertical="center" wrapText="1"/>
    </xf>
    <xf numFmtId="0" fontId="18" fillId="0" borderId="13" xfId="0" applyFont="1" applyBorder="1" applyAlignment="1" applyProtection="1">
      <alignment horizontal="left" vertical="center" wrapText="1"/>
      <protection locked="0"/>
    </xf>
    <xf numFmtId="0" fontId="18" fillId="0" borderId="0" xfId="0" applyFont="1" applyAlignment="1" applyProtection="1">
      <alignment horizontal="left" vertical="center" wrapText="1"/>
      <protection locked="0"/>
    </xf>
    <xf numFmtId="0" fontId="18" fillId="0" borderId="14" xfId="0" applyFont="1" applyBorder="1" applyAlignment="1" applyProtection="1">
      <alignment horizontal="left" vertical="center" wrapText="1"/>
      <protection locked="0"/>
    </xf>
    <xf numFmtId="1" fontId="1" fillId="0" borderId="41" xfId="0" applyNumberFormat="1" applyFont="1" applyBorder="1" applyAlignment="1" applyProtection="1">
      <alignment horizontal="center" vertical="center"/>
      <protection hidden="1"/>
    </xf>
    <xf numFmtId="2" fontId="1" fillId="0" borderId="1" xfId="0" applyNumberFormat="1" applyFont="1" applyBorder="1" applyAlignment="1" applyProtection="1">
      <alignment horizontal="center" vertical="center"/>
      <protection locked="0"/>
    </xf>
    <xf numFmtId="0" fontId="21" fillId="0" borderId="10" xfId="0" applyFont="1" applyBorder="1" applyAlignment="1">
      <alignment horizontal="left" vertical="center" wrapText="1"/>
    </xf>
    <xf numFmtId="0" fontId="21" fillId="0" borderId="11" xfId="0" applyFont="1" applyBorder="1" applyAlignment="1">
      <alignment horizontal="left" vertical="center" wrapText="1"/>
    </xf>
    <xf numFmtId="0" fontId="21" fillId="0" borderId="12" xfId="0" applyFont="1" applyBorder="1" applyAlignment="1">
      <alignment horizontal="left" vertical="center" wrapText="1"/>
    </xf>
    <xf numFmtId="0" fontId="17" fillId="0" borderId="23" xfId="0" applyFont="1" applyBorder="1" applyAlignment="1">
      <alignment horizontal="center" vertical="center" wrapText="1"/>
    </xf>
    <xf numFmtId="0" fontId="1" fillId="0" borderId="32" xfId="0" applyFont="1" applyBorder="1" applyAlignment="1" applyProtection="1">
      <alignment horizontal="center"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24</xdr:col>
      <xdr:colOff>75407</xdr:colOff>
      <xdr:row>19</xdr:row>
      <xdr:rowOff>1081202</xdr:rowOff>
    </xdr:from>
    <xdr:to>
      <xdr:col>32</xdr:col>
      <xdr:colOff>381000</xdr:colOff>
      <xdr:row>20</xdr:row>
      <xdr:rowOff>2288221</xdr:rowOff>
    </xdr:to>
    <xdr:pic>
      <xdr:nvPicPr>
        <xdr:cNvPr id="2" name="Picture 1">
          <a:extLst>
            <a:ext uri="{FF2B5EF4-FFF2-40B4-BE49-F238E27FC236}">
              <a16:creationId xmlns:a16="http://schemas.microsoft.com/office/drawing/2014/main" id="{75C7D69A-61C0-466C-9264-D0A712354B8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743782" y="7253402"/>
          <a:ext cx="6077743" cy="3880823"/>
        </a:xfrm>
        <a:prstGeom prst="rect">
          <a:avLst/>
        </a:prstGeom>
      </xdr:spPr>
    </xdr:pic>
    <xdr:clientData/>
  </xdr:twoCellAnchor>
  <xdr:twoCellAnchor editAs="oneCell">
    <xdr:from>
      <xdr:col>1</xdr:col>
      <xdr:colOff>10206</xdr:colOff>
      <xdr:row>3</xdr:row>
      <xdr:rowOff>49327</xdr:rowOff>
    </xdr:from>
    <xdr:to>
      <xdr:col>1</xdr:col>
      <xdr:colOff>1047750</xdr:colOff>
      <xdr:row>7</xdr:row>
      <xdr:rowOff>81643</xdr:rowOff>
    </xdr:to>
    <xdr:pic>
      <xdr:nvPicPr>
        <xdr:cNvPr id="3" name="image1.jpeg">
          <a:extLst>
            <a:ext uri="{FF2B5EF4-FFF2-40B4-BE49-F238E27FC236}">
              <a16:creationId xmlns:a16="http://schemas.microsoft.com/office/drawing/2014/main" id="{A6A4A489-A88B-43F5-B2A1-B661A6791C58}"/>
            </a:ext>
          </a:extLst>
        </xdr:cNvPr>
        <xdr:cNvPicPr/>
      </xdr:nvPicPr>
      <xdr:blipFill>
        <a:blip xmlns:r="http://schemas.openxmlformats.org/officeDocument/2006/relationships" r:embed="rId2" cstate="print"/>
        <a:stretch>
          <a:fillRect/>
        </a:stretch>
      </xdr:blipFill>
      <xdr:spPr>
        <a:xfrm>
          <a:off x="267381" y="630352"/>
          <a:ext cx="1037544" cy="899091"/>
        </a:xfrm>
        <a:prstGeom prst="rect">
          <a:avLst/>
        </a:prstGeom>
      </xdr:spPr>
    </xdr:pic>
    <xdr:clientData/>
  </xdr:twoCellAnchor>
  <xdr:oneCellAnchor>
    <xdr:from>
      <xdr:col>7</xdr:col>
      <xdr:colOff>99214</xdr:colOff>
      <xdr:row>5</xdr:row>
      <xdr:rowOff>116605</xdr:rowOff>
    </xdr:from>
    <xdr:ext cx="2964657" cy="239809"/>
    <xdr:sp macro="" textlink="">
      <xdr:nvSpPr>
        <xdr:cNvPr id="4" name="TextBox 3">
          <a:extLst>
            <a:ext uri="{FF2B5EF4-FFF2-40B4-BE49-F238E27FC236}">
              <a16:creationId xmlns:a16="http://schemas.microsoft.com/office/drawing/2014/main" id="{4D7C26BD-3943-4AAD-AF95-EF9D5B03268A}"/>
            </a:ext>
          </a:extLst>
        </xdr:cNvPr>
        <xdr:cNvSpPr txBox="1"/>
      </xdr:nvSpPr>
      <xdr:spPr>
        <a:xfrm>
          <a:off x="5128414" y="1183405"/>
          <a:ext cx="2964657"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PH" sz="1000">
              <a:latin typeface="Arial" panose="020B0604020202020204" pitchFamily="34" charset="0"/>
              <a:cs typeface="Arial" panose="020B0604020202020204" pitchFamily="34" charset="0"/>
            </a:rPr>
            <a:t>PANGASINAN</a:t>
          </a:r>
          <a:r>
            <a:rPr lang="en-PH" sz="1000" baseline="0">
              <a:latin typeface="Arial" panose="020B0604020202020204" pitchFamily="34" charset="0"/>
              <a:cs typeface="Arial" panose="020B0604020202020204" pitchFamily="34" charset="0"/>
            </a:rPr>
            <a:t> STATE UNIVERSITY</a:t>
          </a:r>
          <a:endParaRPr lang="en-PH" sz="1000">
            <a:latin typeface="Arial" panose="020B0604020202020204" pitchFamily="34" charset="0"/>
            <a:cs typeface="Arial" panose="020B0604020202020204" pitchFamily="34" charset="0"/>
          </a:endParaRPr>
        </a:p>
      </xdr:txBody>
    </xdr:sp>
    <xdr:clientData/>
  </xdr:oneCellAnchor>
  <xdr:twoCellAnchor>
    <xdr:from>
      <xdr:col>25</xdr:col>
      <xdr:colOff>111125</xdr:colOff>
      <xdr:row>18</xdr:row>
      <xdr:rowOff>714375</xdr:rowOff>
    </xdr:from>
    <xdr:to>
      <xdr:col>25</xdr:col>
      <xdr:colOff>508000</xdr:colOff>
      <xdr:row>18</xdr:row>
      <xdr:rowOff>904875</xdr:rowOff>
    </xdr:to>
    <xdr:sp macro="" textlink="">
      <xdr:nvSpPr>
        <xdr:cNvPr id="5" name="Arrow: Right 4">
          <a:extLst>
            <a:ext uri="{FF2B5EF4-FFF2-40B4-BE49-F238E27FC236}">
              <a16:creationId xmlns:a16="http://schemas.microsoft.com/office/drawing/2014/main" id="{1A6ADC12-59E5-4570-B2BB-EF1A0FDFC704}"/>
            </a:ext>
          </a:extLst>
        </xdr:cNvPr>
        <xdr:cNvSpPr/>
      </xdr:nvSpPr>
      <xdr:spPr>
        <a:xfrm>
          <a:off x="14389100" y="4448175"/>
          <a:ext cx="396875" cy="1905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289152</xdr:colOff>
      <xdr:row>3</xdr:row>
      <xdr:rowOff>16670</xdr:rowOff>
    </xdr:from>
    <xdr:to>
      <xdr:col>1</xdr:col>
      <xdr:colOff>1260021</xdr:colOff>
      <xdr:row>7</xdr:row>
      <xdr:rowOff>119743</xdr:rowOff>
    </xdr:to>
    <xdr:pic>
      <xdr:nvPicPr>
        <xdr:cNvPr id="3" name="image1.jpeg">
          <a:extLst>
            <a:ext uri="{FF2B5EF4-FFF2-40B4-BE49-F238E27FC236}">
              <a16:creationId xmlns:a16="http://schemas.microsoft.com/office/drawing/2014/main" id="{7D681E31-5857-4645-8FB4-57606389BA64}"/>
            </a:ext>
          </a:extLst>
        </xdr:cNvPr>
        <xdr:cNvPicPr/>
      </xdr:nvPicPr>
      <xdr:blipFill>
        <a:blip xmlns:r="http://schemas.openxmlformats.org/officeDocument/2006/relationships" r:embed="rId1" cstate="print"/>
        <a:stretch>
          <a:fillRect/>
        </a:stretch>
      </xdr:blipFill>
      <xdr:spPr>
        <a:xfrm>
          <a:off x="411616" y="601777"/>
          <a:ext cx="970869" cy="973930"/>
        </a:xfrm>
        <a:prstGeom prst="rect">
          <a:avLst/>
        </a:prstGeom>
      </xdr:spPr>
    </xdr:pic>
    <xdr:clientData/>
  </xdr:twoCellAnchor>
  <xdr:oneCellAnchor>
    <xdr:from>
      <xdr:col>7</xdr:col>
      <xdr:colOff>85607</xdr:colOff>
      <xdr:row>5</xdr:row>
      <xdr:rowOff>146843</xdr:rowOff>
    </xdr:from>
    <xdr:ext cx="2964657" cy="239809"/>
    <xdr:sp macro="" textlink="">
      <xdr:nvSpPr>
        <xdr:cNvPr id="4" name="TextBox 3">
          <a:extLst>
            <a:ext uri="{FF2B5EF4-FFF2-40B4-BE49-F238E27FC236}">
              <a16:creationId xmlns:a16="http://schemas.microsoft.com/office/drawing/2014/main" id="{AE9728BE-C5AF-43D7-A5B7-0F198B93CAF6}"/>
            </a:ext>
          </a:extLst>
        </xdr:cNvPr>
        <xdr:cNvSpPr txBox="1"/>
      </xdr:nvSpPr>
      <xdr:spPr>
        <a:xfrm>
          <a:off x="4857632" y="1213643"/>
          <a:ext cx="2964657"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PH" sz="1000">
              <a:latin typeface="Arial" panose="020B0604020202020204" pitchFamily="34" charset="0"/>
              <a:cs typeface="Arial" panose="020B0604020202020204" pitchFamily="34" charset="0"/>
            </a:rPr>
            <a:t>PANGASINAN</a:t>
          </a:r>
          <a:r>
            <a:rPr lang="en-PH" sz="1000" baseline="0">
              <a:latin typeface="Arial" panose="020B0604020202020204" pitchFamily="34" charset="0"/>
              <a:cs typeface="Arial" panose="020B0604020202020204" pitchFamily="34" charset="0"/>
            </a:rPr>
            <a:t> STATE UNIVERSITY</a:t>
          </a:r>
          <a:endParaRPr lang="en-PH" sz="1000">
            <a:latin typeface="Arial" panose="020B0604020202020204" pitchFamily="34" charset="0"/>
            <a:cs typeface="Arial" panose="020B0604020202020204" pitchFamily="34" charset="0"/>
          </a:endParaRPr>
        </a:p>
      </xdr:txBody>
    </xdr:sp>
    <xdr:clientData/>
  </xdr:oneCellAnchor>
  <xdr:twoCellAnchor>
    <xdr:from>
      <xdr:col>25</xdr:col>
      <xdr:colOff>111125</xdr:colOff>
      <xdr:row>18</xdr:row>
      <xdr:rowOff>714375</xdr:rowOff>
    </xdr:from>
    <xdr:to>
      <xdr:col>25</xdr:col>
      <xdr:colOff>508000</xdr:colOff>
      <xdr:row>18</xdr:row>
      <xdr:rowOff>904875</xdr:rowOff>
    </xdr:to>
    <xdr:sp macro="" textlink="">
      <xdr:nvSpPr>
        <xdr:cNvPr id="5" name="Arrow: Right 4">
          <a:extLst>
            <a:ext uri="{FF2B5EF4-FFF2-40B4-BE49-F238E27FC236}">
              <a16:creationId xmlns:a16="http://schemas.microsoft.com/office/drawing/2014/main" id="{D2440BDD-BB33-4D7E-AC57-BCCDD3DE68E8}"/>
            </a:ext>
          </a:extLst>
        </xdr:cNvPr>
        <xdr:cNvSpPr/>
      </xdr:nvSpPr>
      <xdr:spPr>
        <a:xfrm>
          <a:off x="14074775" y="4448175"/>
          <a:ext cx="396875" cy="1905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editAs="oneCell">
    <xdr:from>
      <xdr:col>17</xdr:col>
      <xdr:colOff>77390</xdr:colOff>
      <xdr:row>44</xdr:row>
      <xdr:rowOff>4414</xdr:rowOff>
    </xdr:from>
    <xdr:to>
      <xdr:col>18</xdr:col>
      <xdr:colOff>398859</xdr:colOff>
      <xdr:row>46</xdr:row>
      <xdr:rowOff>113582</xdr:rowOff>
    </xdr:to>
    <xdr:pic>
      <xdr:nvPicPr>
        <xdr:cNvPr id="6" name="Picture 5">
          <a:extLst>
            <a:ext uri="{FF2B5EF4-FFF2-40B4-BE49-F238E27FC236}">
              <a16:creationId xmlns:a16="http://schemas.microsoft.com/office/drawing/2014/main" id="{1DB4395B-CD27-8E89-D967-0AB33B540B4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566796" y="17066070"/>
          <a:ext cx="720329" cy="6747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275545</xdr:colOff>
      <xdr:row>3</xdr:row>
      <xdr:rowOff>16670</xdr:rowOff>
    </xdr:from>
    <xdr:to>
      <xdr:col>1</xdr:col>
      <xdr:colOff>1306285</xdr:colOff>
      <xdr:row>7</xdr:row>
      <xdr:rowOff>136072</xdr:rowOff>
    </xdr:to>
    <xdr:pic>
      <xdr:nvPicPr>
        <xdr:cNvPr id="2" name="image1.jpeg">
          <a:extLst>
            <a:ext uri="{FF2B5EF4-FFF2-40B4-BE49-F238E27FC236}">
              <a16:creationId xmlns:a16="http://schemas.microsoft.com/office/drawing/2014/main" id="{71E2A609-0820-47DE-A8C8-3F840843210B}"/>
            </a:ext>
          </a:extLst>
        </xdr:cNvPr>
        <xdr:cNvPicPr/>
      </xdr:nvPicPr>
      <xdr:blipFill>
        <a:blip xmlns:r="http://schemas.openxmlformats.org/officeDocument/2006/relationships" r:embed="rId1" cstate="print"/>
        <a:stretch>
          <a:fillRect/>
        </a:stretch>
      </xdr:blipFill>
      <xdr:spPr>
        <a:xfrm>
          <a:off x="532720" y="597695"/>
          <a:ext cx="1030740" cy="986177"/>
        </a:xfrm>
        <a:prstGeom prst="rect">
          <a:avLst/>
        </a:prstGeom>
      </xdr:spPr>
    </xdr:pic>
    <xdr:clientData/>
  </xdr:twoCellAnchor>
  <xdr:oneCellAnchor>
    <xdr:from>
      <xdr:col>6</xdr:col>
      <xdr:colOff>85611</xdr:colOff>
      <xdr:row>5</xdr:row>
      <xdr:rowOff>122466</xdr:rowOff>
    </xdr:from>
    <xdr:ext cx="2964657" cy="250580"/>
    <xdr:sp macro="" textlink="">
      <xdr:nvSpPr>
        <xdr:cNvPr id="3" name="TextBox 2">
          <a:extLst>
            <a:ext uri="{FF2B5EF4-FFF2-40B4-BE49-F238E27FC236}">
              <a16:creationId xmlns:a16="http://schemas.microsoft.com/office/drawing/2014/main" id="{50600421-8247-4ABA-A1A9-A262D759BCAC}"/>
            </a:ext>
          </a:extLst>
        </xdr:cNvPr>
        <xdr:cNvSpPr txBox="1"/>
      </xdr:nvSpPr>
      <xdr:spPr>
        <a:xfrm>
          <a:off x="6076836" y="1189266"/>
          <a:ext cx="2964657" cy="2505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PH" sz="1000">
              <a:latin typeface="Arial" panose="020B0604020202020204" pitchFamily="34" charset="0"/>
              <a:cs typeface="Arial" panose="020B0604020202020204" pitchFamily="34" charset="0"/>
            </a:rPr>
            <a:t>PANGASINAN</a:t>
          </a:r>
          <a:r>
            <a:rPr lang="en-PH" sz="1000" baseline="0">
              <a:latin typeface="Arial" panose="020B0604020202020204" pitchFamily="34" charset="0"/>
              <a:cs typeface="Arial" panose="020B0604020202020204" pitchFamily="34" charset="0"/>
            </a:rPr>
            <a:t> STATE UNIVERSITY</a:t>
          </a:r>
          <a:endParaRPr lang="en-PH" sz="1000">
            <a:latin typeface="Arial" panose="020B0604020202020204" pitchFamily="34" charset="0"/>
            <a:cs typeface="Arial" panose="020B0604020202020204" pitchFamily="34" charset="0"/>
          </a:endParaRPr>
        </a:p>
      </xdr:txBody>
    </xdr:sp>
    <xdr:clientData/>
  </xdr:oneCellAnchor>
  <xdr:twoCellAnchor>
    <xdr:from>
      <xdr:col>25</xdr:col>
      <xdr:colOff>111125</xdr:colOff>
      <xdr:row>18</xdr:row>
      <xdr:rowOff>714375</xdr:rowOff>
    </xdr:from>
    <xdr:to>
      <xdr:col>25</xdr:col>
      <xdr:colOff>508000</xdr:colOff>
      <xdr:row>18</xdr:row>
      <xdr:rowOff>904875</xdr:rowOff>
    </xdr:to>
    <xdr:sp macro="" textlink="">
      <xdr:nvSpPr>
        <xdr:cNvPr id="4" name="Arrow: Right 3">
          <a:extLst>
            <a:ext uri="{FF2B5EF4-FFF2-40B4-BE49-F238E27FC236}">
              <a16:creationId xmlns:a16="http://schemas.microsoft.com/office/drawing/2014/main" id="{A3F95552-3652-42FA-A772-88E24C8CF306}"/>
            </a:ext>
          </a:extLst>
        </xdr:cNvPr>
        <xdr:cNvSpPr/>
      </xdr:nvSpPr>
      <xdr:spPr>
        <a:xfrm>
          <a:off x="16484600" y="4448175"/>
          <a:ext cx="396875" cy="285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381000</xdr:colOff>
      <xdr:row>4</xdr:row>
      <xdr:rowOff>0</xdr:rowOff>
    </xdr:from>
    <xdr:to>
      <xdr:col>17</xdr:col>
      <xdr:colOff>587828</xdr:colOff>
      <xdr:row>19</xdr:row>
      <xdr:rowOff>189141</xdr:rowOff>
    </xdr:to>
    <xdr:pic>
      <xdr:nvPicPr>
        <xdr:cNvPr id="2" name="Picture 1">
          <a:extLst>
            <a:ext uri="{FF2B5EF4-FFF2-40B4-BE49-F238E27FC236}">
              <a16:creationId xmlns:a16="http://schemas.microsoft.com/office/drawing/2014/main" id="{938891A8-6C69-459F-8FC3-EFEFF43DAFE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086600" y="762000"/>
          <a:ext cx="3864428" cy="3046641"/>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5837D-E55A-419F-BE85-9CE64E8775B4}">
  <dimension ref="B1:AC34"/>
  <sheetViews>
    <sheetView topLeftCell="A10" zoomScale="145" zoomScaleNormal="145" workbookViewId="0">
      <selection activeCell="G20" sqref="G20:H20"/>
    </sheetView>
  </sheetViews>
  <sheetFormatPr defaultRowHeight="12" x14ac:dyDescent="0.2"/>
  <cols>
    <col min="1" max="1" width="3.85546875" style="1" customWidth="1"/>
    <col min="2" max="2" width="16" style="1" customWidth="1"/>
    <col min="3" max="3" width="27.28515625" style="1" customWidth="1"/>
    <col min="4" max="4" width="10.5703125" style="1" customWidth="1"/>
    <col min="5" max="5" width="12.7109375" style="1" customWidth="1"/>
    <col min="6" max="6" width="8.140625" style="1" customWidth="1"/>
    <col min="7" max="7" width="7.42578125" style="1" customWidth="1"/>
    <col min="8" max="8" width="8.85546875" style="1" customWidth="1"/>
    <col min="9" max="9" width="9.140625" style="1"/>
    <col min="10" max="10" width="10" style="1" customWidth="1"/>
    <col min="11" max="11" width="6.85546875" style="1" customWidth="1"/>
    <col min="12" max="12" width="7.85546875" style="1" customWidth="1"/>
    <col min="13" max="13" width="8.140625" style="1" customWidth="1"/>
    <col min="14" max="14" width="6.140625" style="1" customWidth="1"/>
    <col min="15" max="15" width="7" style="1" customWidth="1"/>
    <col min="16" max="16" width="5.5703125" style="1" customWidth="1"/>
    <col min="17" max="17" width="7" style="1" customWidth="1"/>
    <col min="18" max="18" width="6" style="1" customWidth="1"/>
    <col min="19" max="19" width="7.140625" style="1" bestFit="1" customWidth="1"/>
    <col min="20" max="20" width="8.5703125" style="1" customWidth="1"/>
    <col min="21" max="21" width="3.85546875" style="1" customWidth="1"/>
    <col min="22" max="28" width="9.140625" style="1"/>
    <col min="29" max="29" width="22.5703125" style="1" customWidth="1"/>
    <col min="30" max="16384" width="9.140625" style="1"/>
  </cols>
  <sheetData>
    <row r="1" spans="2:21" ht="15" customHeight="1" x14ac:dyDescent="0.2">
      <c r="S1" s="86" t="s">
        <v>31</v>
      </c>
      <c r="T1" s="86"/>
    </row>
    <row r="2" spans="2:21" ht="15" customHeight="1" x14ac:dyDescent="0.2">
      <c r="S2" s="86" t="s">
        <v>32</v>
      </c>
      <c r="T2" s="86"/>
    </row>
    <row r="3" spans="2:21" ht="15.75" customHeight="1" thickBot="1" x14ac:dyDescent="0.25">
      <c r="S3" s="87" t="s">
        <v>36</v>
      </c>
      <c r="T3" s="87"/>
      <c r="U3" s="9"/>
    </row>
    <row r="4" spans="2:21" ht="23.25" customHeight="1" x14ac:dyDescent="0.2">
      <c r="B4" s="88"/>
      <c r="C4" s="91" t="s">
        <v>23</v>
      </c>
      <c r="D4" s="92"/>
      <c r="E4" s="92"/>
      <c r="F4" s="92"/>
      <c r="G4" s="92"/>
      <c r="H4" s="92"/>
      <c r="I4" s="92"/>
      <c r="J4" s="92"/>
      <c r="K4" s="92"/>
      <c r="L4" s="92"/>
      <c r="M4" s="92"/>
      <c r="N4" s="92"/>
      <c r="O4" s="92"/>
      <c r="P4" s="92"/>
      <c r="Q4" s="92"/>
      <c r="R4" s="92"/>
      <c r="S4" s="92"/>
      <c r="T4" s="92"/>
      <c r="U4" s="93"/>
    </row>
    <row r="5" spans="2:21" ht="15" customHeight="1" x14ac:dyDescent="0.2">
      <c r="B5" s="89"/>
      <c r="C5" s="94"/>
      <c r="D5" s="95"/>
      <c r="E5" s="95"/>
      <c r="F5" s="95"/>
      <c r="G5" s="95"/>
      <c r="H5" s="95"/>
      <c r="I5" s="95"/>
      <c r="J5" s="95"/>
      <c r="K5" s="95"/>
      <c r="L5" s="95"/>
      <c r="M5" s="95"/>
      <c r="N5" s="95"/>
      <c r="O5" s="95"/>
      <c r="P5" s="95"/>
      <c r="Q5" s="95"/>
      <c r="R5" s="95"/>
      <c r="S5" s="95"/>
      <c r="T5" s="95"/>
      <c r="U5" s="96"/>
    </row>
    <row r="6" spans="2:21" ht="15" customHeight="1" x14ac:dyDescent="0.2">
      <c r="B6" s="89"/>
      <c r="C6" s="94"/>
      <c r="D6" s="95"/>
      <c r="E6" s="95"/>
      <c r="F6" s="95"/>
      <c r="G6" s="95"/>
      <c r="H6" s="95"/>
      <c r="I6" s="95"/>
      <c r="J6" s="95"/>
      <c r="K6" s="95"/>
      <c r="L6" s="95"/>
      <c r="M6" s="95"/>
      <c r="N6" s="95"/>
      <c r="O6" s="95"/>
      <c r="P6" s="95"/>
      <c r="Q6" s="95"/>
      <c r="R6" s="95"/>
      <c r="S6" s="95"/>
      <c r="T6" s="95"/>
      <c r="U6" s="96"/>
    </row>
    <row r="7" spans="2:21" ht="15" customHeight="1" x14ac:dyDescent="0.2">
      <c r="B7" s="89"/>
      <c r="C7" s="97"/>
      <c r="D7" s="98"/>
      <c r="E7" s="98"/>
      <c r="F7" s="98"/>
      <c r="G7" s="98"/>
      <c r="H7" s="98"/>
      <c r="I7" s="98"/>
      <c r="J7" s="98"/>
      <c r="K7" s="98"/>
      <c r="L7" s="98"/>
      <c r="M7" s="98"/>
      <c r="N7" s="98"/>
      <c r="O7" s="98"/>
      <c r="P7" s="98"/>
      <c r="Q7" s="98"/>
      <c r="R7" s="98"/>
      <c r="S7" s="98"/>
      <c r="T7" s="98"/>
      <c r="U7" s="99"/>
    </row>
    <row r="8" spans="2:21" ht="11.25" customHeight="1" thickBot="1" x14ac:dyDescent="0.25">
      <c r="B8" s="89"/>
      <c r="C8" s="100"/>
      <c r="D8" s="101"/>
      <c r="E8" s="101"/>
      <c r="F8" s="101"/>
      <c r="G8" s="101"/>
      <c r="H8" s="101"/>
      <c r="I8" s="101"/>
      <c r="J8" s="101"/>
      <c r="K8" s="101"/>
      <c r="L8" s="101"/>
      <c r="M8" s="101"/>
      <c r="N8" s="101"/>
      <c r="O8" s="101"/>
      <c r="P8" s="101"/>
      <c r="Q8" s="101"/>
      <c r="R8" s="101"/>
      <c r="S8" s="101"/>
      <c r="T8" s="101"/>
      <c r="U8" s="102"/>
    </row>
    <row r="9" spans="2:21" ht="0.75" hidden="1" customHeight="1" x14ac:dyDescent="0.2">
      <c r="B9" s="90"/>
    </row>
    <row r="10" spans="2:21" s="2" customFormat="1" ht="18.75" customHeight="1" x14ac:dyDescent="0.25">
      <c r="B10" s="72" t="s">
        <v>59</v>
      </c>
      <c r="C10" s="73"/>
      <c r="D10" s="73"/>
      <c r="E10" s="73"/>
      <c r="F10" s="73"/>
      <c r="G10" s="73"/>
      <c r="H10" s="73"/>
      <c r="I10" s="73"/>
      <c r="J10" s="73"/>
      <c r="K10" s="73"/>
      <c r="L10" s="73"/>
      <c r="M10" s="73"/>
      <c r="N10" s="73"/>
      <c r="O10" s="73"/>
      <c r="P10" s="73"/>
      <c r="Q10" s="73"/>
      <c r="R10" s="73"/>
      <c r="S10" s="73"/>
      <c r="T10" s="73"/>
      <c r="U10" s="74"/>
    </row>
    <row r="11" spans="2:21" s="2" customFormat="1" ht="21.75" customHeight="1" thickBot="1" x14ac:dyDescent="0.3">
      <c r="B11" s="75" t="s">
        <v>60</v>
      </c>
      <c r="C11" s="76"/>
      <c r="D11" s="76"/>
      <c r="E11" s="76"/>
      <c r="F11" s="76"/>
      <c r="G11" s="76"/>
      <c r="H11" s="76"/>
      <c r="I11" s="76"/>
      <c r="J11" s="76"/>
      <c r="K11" s="76"/>
      <c r="L11" s="76"/>
      <c r="M11" s="76"/>
      <c r="N11" s="76"/>
      <c r="O11" s="76"/>
      <c r="P11" s="76"/>
      <c r="Q11" s="76"/>
      <c r="R11" s="76"/>
      <c r="S11" s="76"/>
      <c r="T11" s="76"/>
      <c r="U11" s="77"/>
    </row>
    <row r="12" spans="2:21" s="2" customFormat="1" ht="15.95" customHeight="1" x14ac:dyDescent="0.25">
      <c r="B12" s="3" t="s">
        <v>15</v>
      </c>
      <c r="C12" s="78" t="s">
        <v>22</v>
      </c>
      <c r="D12" s="78"/>
      <c r="E12" s="78"/>
      <c r="F12" s="78"/>
      <c r="G12" s="78"/>
      <c r="H12" s="78"/>
      <c r="I12" s="78"/>
      <c r="J12" s="78"/>
      <c r="K12" s="79" t="s">
        <v>18</v>
      </c>
      <c r="L12" s="79"/>
      <c r="M12" s="79"/>
      <c r="N12" s="78" t="s">
        <v>21</v>
      </c>
      <c r="O12" s="78"/>
      <c r="P12" s="78"/>
      <c r="Q12" s="78"/>
      <c r="R12" s="78"/>
      <c r="S12" s="78"/>
      <c r="T12" s="80"/>
      <c r="U12" s="81"/>
    </row>
    <row r="13" spans="2:21" s="2" customFormat="1" ht="15.95" customHeight="1" x14ac:dyDescent="0.25">
      <c r="B13" s="4" t="s">
        <v>16</v>
      </c>
      <c r="C13" s="82" t="s">
        <v>61</v>
      </c>
      <c r="D13" s="82"/>
      <c r="E13" s="82"/>
      <c r="F13" s="82"/>
      <c r="G13" s="82"/>
      <c r="H13" s="82"/>
      <c r="I13" s="82"/>
      <c r="J13" s="82"/>
      <c r="K13" s="83" t="s">
        <v>19</v>
      </c>
      <c r="L13" s="83"/>
      <c r="M13" s="83"/>
      <c r="N13" s="82" t="s">
        <v>58</v>
      </c>
      <c r="O13" s="82"/>
      <c r="P13" s="82"/>
      <c r="Q13" s="82"/>
      <c r="R13" s="82"/>
      <c r="S13" s="82"/>
      <c r="T13" s="84"/>
      <c r="U13" s="85"/>
    </row>
    <row r="14" spans="2:21" s="2" customFormat="1" ht="15.95" customHeight="1" thickBot="1" x14ac:dyDescent="0.3">
      <c r="B14" s="5" t="s">
        <v>17</v>
      </c>
      <c r="C14" s="103" t="s">
        <v>43</v>
      </c>
      <c r="D14" s="103"/>
      <c r="E14" s="103"/>
      <c r="F14" s="103"/>
      <c r="G14" s="103"/>
      <c r="H14" s="103"/>
      <c r="I14" s="103"/>
      <c r="J14" s="103"/>
      <c r="K14" s="104" t="s">
        <v>20</v>
      </c>
      <c r="L14" s="104"/>
      <c r="M14" s="104"/>
      <c r="N14" s="103"/>
      <c r="O14" s="103"/>
      <c r="P14" s="103"/>
      <c r="Q14" s="103"/>
      <c r="R14" s="103"/>
      <c r="S14" s="103"/>
      <c r="T14" s="105"/>
      <c r="U14" s="106"/>
    </row>
    <row r="15" spans="2:21" ht="3.75" customHeight="1" thickBot="1" x14ac:dyDescent="0.25">
      <c r="B15" s="18"/>
      <c r="C15" s="19"/>
      <c r="D15" s="19"/>
      <c r="E15" s="19"/>
      <c r="F15" s="19"/>
      <c r="G15" s="19"/>
      <c r="H15" s="19"/>
      <c r="I15" s="19"/>
      <c r="J15" s="19"/>
      <c r="K15" s="19"/>
      <c r="L15" s="19"/>
      <c r="M15" s="19"/>
      <c r="N15" s="19"/>
      <c r="O15" s="19"/>
      <c r="P15" s="19"/>
      <c r="Q15" s="19"/>
      <c r="R15" s="19"/>
      <c r="S15" s="19"/>
      <c r="T15" s="19"/>
      <c r="U15" s="20"/>
    </row>
    <row r="16" spans="2:21" ht="21.75" customHeight="1" x14ac:dyDescent="0.2">
      <c r="B16" s="107" t="s">
        <v>0</v>
      </c>
      <c r="C16" s="110" t="s">
        <v>1</v>
      </c>
      <c r="D16" s="110" t="s">
        <v>2</v>
      </c>
      <c r="E16" s="110" t="s">
        <v>3</v>
      </c>
      <c r="F16" s="110" t="s">
        <v>4</v>
      </c>
      <c r="G16" s="113" t="s">
        <v>5</v>
      </c>
      <c r="H16" s="114"/>
      <c r="I16" s="114"/>
      <c r="J16" s="114"/>
      <c r="K16" s="114"/>
      <c r="L16" s="114"/>
      <c r="M16" s="114"/>
      <c r="N16" s="114"/>
      <c r="O16" s="114"/>
      <c r="P16" s="114"/>
      <c r="Q16" s="114"/>
      <c r="R16" s="114"/>
      <c r="S16" s="114"/>
      <c r="T16" s="115" t="s">
        <v>13</v>
      </c>
      <c r="U16" s="116"/>
    </row>
    <row r="17" spans="2:29" ht="35.25" customHeight="1" x14ac:dyDescent="0.2">
      <c r="B17" s="108"/>
      <c r="C17" s="111"/>
      <c r="D17" s="111"/>
      <c r="E17" s="111"/>
      <c r="F17" s="111"/>
      <c r="G17" s="111" t="s">
        <v>6</v>
      </c>
      <c r="H17" s="111"/>
      <c r="I17" s="111" t="s">
        <v>7</v>
      </c>
      <c r="J17" s="111"/>
      <c r="K17" s="111" t="s">
        <v>8</v>
      </c>
      <c r="L17" s="111"/>
      <c r="M17" s="111" t="s">
        <v>9</v>
      </c>
      <c r="N17" s="111"/>
      <c r="O17" s="111" t="s">
        <v>10</v>
      </c>
      <c r="P17" s="111"/>
      <c r="Q17" s="111" t="s">
        <v>11</v>
      </c>
      <c r="R17" s="127"/>
      <c r="S17" s="111" t="s">
        <v>12</v>
      </c>
      <c r="T17" s="117"/>
      <c r="U17" s="118"/>
    </row>
    <row r="18" spans="2:29" ht="20.25" thickBot="1" x14ac:dyDescent="0.35">
      <c r="B18" s="109"/>
      <c r="C18" s="112"/>
      <c r="D18" s="112"/>
      <c r="E18" s="112"/>
      <c r="F18" s="112"/>
      <c r="G18" s="26">
        <f>(G29/S29)*100</f>
        <v>100</v>
      </c>
      <c r="H18" s="27" t="s">
        <v>14</v>
      </c>
      <c r="I18" s="26">
        <f>(I29/S29)*100</f>
        <v>0</v>
      </c>
      <c r="J18" s="27" t="s">
        <v>14</v>
      </c>
      <c r="K18" s="26">
        <f>(K29/S29)*100</f>
        <v>0</v>
      </c>
      <c r="L18" s="27" t="s">
        <v>14</v>
      </c>
      <c r="M18" s="26">
        <f>(M29/S29)*100</f>
        <v>0</v>
      </c>
      <c r="N18" s="27" t="s">
        <v>14</v>
      </c>
      <c r="O18" s="26">
        <f>(O29/S29)*100</f>
        <v>0</v>
      </c>
      <c r="P18" s="27" t="s">
        <v>14</v>
      </c>
      <c r="Q18" s="26">
        <f>(Q29/S29)*100</f>
        <v>0</v>
      </c>
      <c r="R18" s="27" t="s">
        <v>14</v>
      </c>
      <c r="S18" s="112"/>
      <c r="T18" s="119"/>
      <c r="U18" s="120"/>
      <c r="W18" s="23">
        <f>G18+I18+K18+M18+O18+Q18</f>
        <v>100</v>
      </c>
      <c r="Y18" s="121" t="s">
        <v>39</v>
      </c>
      <c r="Z18" s="121"/>
      <c r="AA18" s="121"/>
      <c r="AB18" s="121"/>
      <c r="AC18" s="121"/>
    </row>
    <row r="19" spans="2:29" ht="96" x14ac:dyDescent="0.2">
      <c r="B19" s="28" t="s">
        <v>47</v>
      </c>
      <c r="C19" s="39" t="s">
        <v>45</v>
      </c>
      <c r="D19" s="29">
        <v>1</v>
      </c>
      <c r="E19" s="42">
        <f>(D19/D29)*100</f>
        <v>3.8461538461538463</v>
      </c>
      <c r="F19" s="30">
        <f>(S29/D29)*D19</f>
        <v>2.1153846153846154</v>
      </c>
      <c r="G19" s="122">
        <v>2</v>
      </c>
      <c r="H19" s="122"/>
      <c r="I19" s="123"/>
      <c r="J19" s="124"/>
      <c r="K19" s="123"/>
      <c r="L19" s="124"/>
      <c r="M19" s="123"/>
      <c r="N19" s="124"/>
      <c r="O19" s="123"/>
      <c r="P19" s="124"/>
      <c r="Q19" s="123"/>
      <c r="R19" s="124"/>
      <c r="S19" s="42">
        <f>SUM(G19:Q19)</f>
        <v>2</v>
      </c>
      <c r="T19" s="125"/>
      <c r="U19" s="126"/>
      <c r="X19" s="15" t="s">
        <v>33</v>
      </c>
      <c r="Y19" s="25" t="s">
        <v>37</v>
      </c>
      <c r="Z19" s="21"/>
      <c r="AA19" s="24">
        <v>55</v>
      </c>
    </row>
    <row r="20" spans="2:29" ht="210.75" customHeight="1" x14ac:dyDescent="0.2">
      <c r="B20" s="31" t="s">
        <v>48</v>
      </c>
      <c r="C20" s="32" t="s">
        <v>49</v>
      </c>
      <c r="D20" s="33">
        <v>4</v>
      </c>
      <c r="E20" s="34">
        <f>(D20/D29)*100</f>
        <v>15.384615384615385</v>
      </c>
      <c r="F20" s="35">
        <f>(S29/D29)*D20</f>
        <v>8.4615384615384617</v>
      </c>
      <c r="G20" s="131">
        <v>8</v>
      </c>
      <c r="H20" s="131"/>
      <c r="I20" s="131"/>
      <c r="J20" s="131"/>
      <c r="K20" s="131"/>
      <c r="L20" s="131"/>
      <c r="M20" s="131"/>
      <c r="N20" s="131"/>
      <c r="O20" s="131"/>
      <c r="P20" s="131"/>
      <c r="Q20" s="131"/>
      <c r="R20" s="131"/>
      <c r="S20" s="34">
        <f t="shared" ref="S20:S28" si="0">SUM(G20:Q20)</f>
        <v>8</v>
      </c>
      <c r="T20" s="128"/>
      <c r="U20" s="129"/>
      <c r="X20" s="16" t="s">
        <v>34</v>
      </c>
      <c r="Y20" s="130" t="s">
        <v>38</v>
      </c>
      <c r="Z20" s="130"/>
      <c r="AA20" s="130"/>
      <c r="AB20" s="130"/>
      <c r="AC20" s="130"/>
    </row>
    <row r="21" spans="2:29" ht="240" customHeight="1" x14ac:dyDescent="0.2">
      <c r="B21" s="31" t="s">
        <v>50</v>
      </c>
      <c r="C21" s="32" t="s">
        <v>51</v>
      </c>
      <c r="D21" s="33">
        <v>5</v>
      </c>
      <c r="E21" s="34">
        <f>(D21/D29)*100</f>
        <v>19.230769230769234</v>
      </c>
      <c r="F21" s="35">
        <f>(S29/D29)*D21</f>
        <v>10.576923076923077</v>
      </c>
      <c r="G21" s="131">
        <v>11</v>
      </c>
      <c r="H21" s="131"/>
      <c r="I21" s="131"/>
      <c r="J21" s="131"/>
      <c r="K21" s="131"/>
      <c r="L21" s="131"/>
      <c r="M21" s="132"/>
      <c r="N21" s="133"/>
      <c r="O21" s="132"/>
      <c r="P21" s="133"/>
      <c r="Q21" s="132"/>
      <c r="R21" s="133"/>
      <c r="S21" s="34">
        <f t="shared" si="0"/>
        <v>11</v>
      </c>
      <c r="T21" s="134"/>
      <c r="U21" s="135"/>
      <c r="X21" s="16"/>
      <c r="Y21" s="136"/>
      <c r="Z21" s="136"/>
      <c r="AA21" s="136"/>
      <c r="AB21" s="136"/>
      <c r="AC21" s="136"/>
    </row>
    <row r="22" spans="2:29" ht="346.5" customHeight="1" x14ac:dyDescent="0.2">
      <c r="B22" s="31" t="s">
        <v>52</v>
      </c>
      <c r="C22" s="32" t="s">
        <v>53</v>
      </c>
      <c r="D22" s="33">
        <v>7</v>
      </c>
      <c r="E22" s="34">
        <f>(D22/D29)*100</f>
        <v>26.923076923076923</v>
      </c>
      <c r="F22" s="35">
        <f>(S29/D29)*D22</f>
        <v>14.807692307692308</v>
      </c>
      <c r="G22" s="132">
        <v>15</v>
      </c>
      <c r="H22" s="133"/>
      <c r="I22" s="132"/>
      <c r="J22" s="133"/>
      <c r="K22" s="132"/>
      <c r="L22" s="133"/>
      <c r="M22" s="132"/>
      <c r="N22" s="133"/>
      <c r="O22" s="132"/>
      <c r="P22" s="133"/>
      <c r="Q22" s="132"/>
      <c r="R22" s="133"/>
      <c r="S22" s="34">
        <f t="shared" si="0"/>
        <v>15</v>
      </c>
      <c r="T22" s="134"/>
      <c r="U22" s="135"/>
      <c r="X22" s="16"/>
      <c r="Y22" s="17"/>
    </row>
    <row r="23" spans="2:29" ht="254.25" customHeight="1" x14ac:dyDescent="0.2">
      <c r="B23" s="31" t="s">
        <v>54</v>
      </c>
      <c r="C23" s="32" t="s">
        <v>55</v>
      </c>
      <c r="D23" s="33">
        <v>5</v>
      </c>
      <c r="E23" s="34">
        <f>(D23/D29)*100</f>
        <v>19.230769230769234</v>
      </c>
      <c r="F23" s="35">
        <f>(S29/D29)*D23</f>
        <v>10.576923076923077</v>
      </c>
      <c r="G23" s="131">
        <v>11</v>
      </c>
      <c r="H23" s="131"/>
      <c r="I23" s="131"/>
      <c r="J23" s="131"/>
      <c r="K23" s="131"/>
      <c r="L23" s="131"/>
      <c r="M23" s="132"/>
      <c r="N23" s="133"/>
      <c r="O23" s="132"/>
      <c r="P23" s="133"/>
      <c r="Q23" s="132"/>
      <c r="R23" s="133"/>
      <c r="S23" s="34">
        <f t="shared" si="0"/>
        <v>11</v>
      </c>
      <c r="T23" s="134"/>
      <c r="U23" s="135"/>
      <c r="X23" s="16"/>
      <c r="Y23" s="17"/>
    </row>
    <row r="24" spans="2:29" ht="289.5" customHeight="1" x14ac:dyDescent="0.2">
      <c r="B24" s="31" t="s">
        <v>56</v>
      </c>
      <c r="C24" s="32" t="s">
        <v>57</v>
      </c>
      <c r="D24" s="33">
        <v>4</v>
      </c>
      <c r="E24" s="34">
        <f>(D24/D29)*100</f>
        <v>15.384615384615385</v>
      </c>
      <c r="F24" s="35">
        <f>(S29/D29)*D24</f>
        <v>8.4615384615384617</v>
      </c>
      <c r="G24" s="132">
        <v>8</v>
      </c>
      <c r="H24" s="133"/>
      <c r="I24" s="132"/>
      <c r="J24" s="133"/>
      <c r="K24" s="132"/>
      <c r="L24" s="133"/>
      <c r="M24" s="132"/>
      <c r="N24" s="133"/>
      <c r="O24" s="132"/>
      <c r="P24" s="133"/>
      <c r="Q24" s="132"/>
      <c r="R24" s="133"/>
      <c r="S24" s="34">
        <f t="shared" si="0"/>
        <v>8</v>
      </c>
      <c r="T24" s="132"/>
      <c r="U24" s="137"/>
      <c r="X24" s="16"/>
      <c r="Y24" s="17"/>
    </row>
    <row r="25" spans="2:29" ht="12" hidden="1" customHeight="1" x14ac:dyDescent="0.2">
      <c r="B25" s="31"/>
      <c r="C25" s="32"/>
      <c r="D25" s="33"/>
      <c r="E25" s="34">
        <f>(S25/S29)*100</f>
        <v>0</v>
      </c>
      <c r="F25" s="35">
        <f>(S31/D29)*D25</f>
        <v>0</v>
      </c>
      <c r="G25" s="132"/>
      <c r="H25" s="133"/>
      <c r="I25" s="132"/>
      <c r="J25" s="133"/>
      <c r="K25" s="132"/>
      <c r="L25" s="133"/>
      <c r="M25" s="132"/>
      <c r="N25" s="133"/>
      <c r="O25" s="132"/>
      <c r="P25" s="133"/>
      <c r="Q25" s="132"/>
      <c r="R25" s="133"/>
      <c r="S25" s="34">
        <f t="shared" si="0"/>
        <v>0</v>
      </c>
      <c r="T25" s="132"/>
      <c r="U25" s="137"/>
      <c r="X25" s="16"/>
      <c r="Y25" s="17"/>
    </row>
    <row r="26" spans="2:29" ht="12" hidden="1" customHeight="1" x14ac:dyDescent="0.2">
      <c r="B26" s="31"/>
      <c r="C26" s="32"/>
      <c r="D26" s="33"/>
      <c r="E26" s="34">
        <f>(S26/S29)*100</f>
        <v>0</v>
      </c>
      <c r="F26" s="35">
        <f>(S32/D29)*D26</f>
        <v>0</v>
      </c>
      <c r="G26" s="132"/>
      <c r="H26" s="133"/>
      <c r="I26" s="131"/>
      <c r="J26" s="131"/>
      <c r="K26" s="131"/>
      <c r="L26" s="131"/>
      <c r="M26" s="132"/>
      <c r="N26" s="133"/>
      <c r="O26" s="132"/>
      <c r="P26" s="133"/>
      <c r="Q26" s="132"/>
      <c r="R26" s="133"/>
      <c r="S26" s="34">
        <f t="shared" si="0"/>
        <v>0</v>
      </c>
      <c r="T26" s="132"/>
      <c r="U26" s="137"/>
      <c r="X26" s="10"/>
      <c r="Y26" s="11"/>
    </row>
    <row r="27" spans="2:29" hidden="1" x14ac:dyDescent="0.2">
      <c r="B27" s="31"/>
      <c r="C27" s="32"/>
      <c r="D27" s="33"/>
      <c r="E27" s="34">
        <f>(S27/S29)*100</f>
        <v>0</v>
      </c>
      <c r="F27" s="35">
        <f>(S33/D29)*D27</f>
        <v>0</v>
      </c>
      <c r="G27" s="132"/>
      <c r="H27" s="133"/>
      <c r="I27" s="132"/>
      <c r="J27" s="133"/>
      <c r="K27" s="132"/>
      <c r="L27" s="133"/>
      <c r="M27" s="132"/>
      <c r="N27" s="133"/>
      <c r="O27" s="132"/>
      <c r="P27" s="133"/>
      <c r="Q27" s="132"/>
      <c r="R27" s="133"/>
      <c r="S27" s="34">
        <f t="shared" si="0"/>
        <v>0</v>
      </c>
      <c r="T27" s="132"/>
      <c r="U27" s="137"/>
      <c r="X27" s="10"/>
      <c r="Y27" s="11"/>
    </row>
    <row r="28" spans="2:29" hidden="1" x14ac:dyDescent="0.2">
      <c r="B28" s="36"/>
      <c r="C28" s="37"/>
      <c r="D28" s="33"/>
      <c r="E28" s="34">
        <f>(S28/S29)*100</f>
        <v>0</v>
      </c>
      <c r="F28" s="35">
        <f>(S34/D29)*D28</f>
        <v>0</v>
      </c>
      <c r="G28" s="131"/>
      <c r="H28" s="131"/>
      <c r="I28" s="131"/>
      <c r="J28" s="131"/>
      <c r="K28" s="131"/>
      <c r="L28" s="131"/>
      <c r="M28" s="131"/>
      <c r="N28" s="131"/>
      <c r="O28" s="131"/>
      <c r="P28" s="131"/>
      <c r="Q28" s="131"/>
      <c r="R28" s="131"/>
      <c r="S28" s="34">
        <f t="shared" si="0"/>
        <v>0</v>
      </c>
      <c r="T28" s="131"/>
      <c r="U28" s="138"/>
      <c r="X28" s="12"/>
      <c r="Y28" s="2"/>
    </row>
    <row r="29" spans="2:29" s="13" customFormat="1" ht="27" customHeight="1" thickBot="1" x14ac:dyDescent="0.3">
      <c r="B29" s="139" t="s">
        <v>35</v>
      </c>
      <c r="C29" s="140"/>
      <c r="D29" s="38">
        <f>SUM(D19:D28)</f>
        <v>26</v>
      </c>
      <c r="E29" s="40">
        <f>SUM(E19:E28)</f>
        <v>100</v>
      </c>
      <c r="F29" s="40">
        <f>SUM(F19:F28)</f>
        <v>54.999999999999993</v>
      </c>
      <c r="G29" s="141">
        <f>SUM(G19:G28)</f>
        <v>55</v>
      </c>
      <c r="H29" s="142"/>
      <c r="I29" s="141">
        <f>SUM(I19:I28)</f>
        <v>0</v>
      </c>
      <c r="J29" s="142"/>
      <c r="K29" s="141">
        <f>SUM(K19:K28)</f>
        <v>0</v>
      </c>
      <c r="L29" s="142"/>
      <c r="M29" s="141">
        <f>SUM(M19:M28)</f>
        <v>0</v>
      </c>
      <c r="N29" s="142"/>
      <c r="O29" s="141">
        <f>SUM(O19:O28)</f>
        <v>0</v>
      </c>
      <c r="P29" s="142"/>
      <c r="Q29" s="141">
        <f>SUM(Q19:Q28)</f>
        <v>0</v>
      </c>
      <c r="R29" s="142"/>
      <c r="S29" s="41">
        <f>AA19</f>
        <v>55</v>
      </c>
      <c r="T29" s="143">
        <v>50</v>
      </c>
      <c r="U29" s="144"/>
      <c r="V29" s="22"/>
      <c r="W29" s="22">
        <f>SUM(S19:S28)</f>
        <v>55</v>
      </c>
    </row>
    <row r="30" spans="2:29" ht="4.5" customHeight="1" thickBot="1" x14ac:dyDescent="0.25">
      <c r="B30" s="145"/>
      <c r="C30" s="145"/>
      <c r="D30" s="145"/>
      <c r="E30" s="145"/>
      <c r="F30" s="145"/>
      <c r="G30" s="145"/>
      <c r="H30" s="145"/>
      <c r="I30" s="145"/>
      <c r="J30" s="145"/>
      <c r="K30" s="145"/>
      <c r="L30" s="145"/>
      <c r="M30" s="145"/>
      <c r="N30" s="145"/>
      <c r="O30" s="145"/>
      <c r="P30" s="145"/>
      <c r="Q30" s="145"/>
      <c r="R30" s="145"/>
      <c r="S30" s="145"/>
      <c r="T30" s="145"/>
      <c r="U30" s="145"/>
    </row>
    <row r="31" spans="2:29" ht="27" customHeight="1" x14ac:dyDescent="0.2">
      <c r="B31" s="146" t="s">
        <v>24</v>
      </c>
      <c r="C31" s="147"/>
      <c r="D31" s="147"/>
      <c r="E31" s="147"/>
      <c r="F31" s="147" t="s">
        <v>25</v>
      </c>
      <c r="G31" s="147"/>
      <c r="H31" s="147"/>
      <c r="I31" s="147"/>
      <c r="J31" s="147"/>
      <c r="K31" s="148"/>
      <c r="L31" s="148"/>
      <c r="M31" s="148"/>
      <c r="N31" s="148"/>
      <c r="O31" s="148"/>
      <c r="P31" s="147" t="s">
        <v>26</v>
      </c>
      <c r="Q31" s="147"/>
      <c r="R31" s="147"/>
      <c r="S31" s="147"/>
      <c r="T31" s="147"/>
      <c r="U31" s="149"/>
    </row>
    <row r="32" spans="2:29" s="14" customFormat="1" ht="17.25" customHeight="1" x14ac:dyDescent="0.2">
      <c r="B32" s="150" t="s">
        <v>42</v>
      </c>
      <c r="C32" s="151"/>
      <c r="D32" s="151"/>
      <c r="E32" s="151"/>
      <c r="F32" s="152" t="e">
        <f>#REF!</f>
        <v>#REF!</v>
      </c>
      <c r="G32" s="151"/>
      <c r="H32" s="151"/>
      <c r="I32" s="151"/>
      <c r="J32" s="151"/>
      <c r="K32" s="152" t="s">
        <v>30</v>
      </c>
      <c r="L32" s="152"/>
      <c r="M32" s="152"/>
      <c r="N32" s="152"/>
      <c r="O32" s="152"/>
      <c r="P32" s="152" t="s">
        <v>29</v>
      </c>
      <c r="Q32" s="151"/>
      <c r="R32" s="151"/>
      <c r="S32" s="151"/>
      <c r="T32" s="151"/>
      <c r="U32" s="153"/>
    </row>
    <row r="33" spans="2:21" ht="11.25" customHeight="1" x14ac:dyDescent="0.2">
      <c r="B33" s="97" t="s">
        <v>27</v>
      </c>
      <c r="C33" s="98"/>
      <c r="D33" s="98"/>
      <c r="E33" s="98"/>
      <c r="F33" s="98" t="s">
        <v>40</v>
      </c>
      <c r="G33" s="98"/>
      <c r="H33" s="98"/>
      <c r="I33" s="98"/>
      <c r="J33" s="98"/>
      <c r="K33" s="98" t="s">
        <v>41</v>
      </c>
      <c r="L33" s="98"/>
      <c r="M33" s="98"/>
      <c r="N33" s="98"/>
      <c r="O33" s="98"/>
      <c r="P33" s="98" t="s">
        <v>28</v>
      </c>
      <c r="Q33" s="98"/>
      <c r="R33" s="98"/>
      <c r="S33" s="98"/>
      <c r="T33" s="98"/>
      <c r="U33" s="99"/>
    </row>
    <row r="34" spans="2:21" ht="9.75" customHeight="1" thickBot="1" x14ac:dyDescent="0.25">
      <c r="B34" s="6"/>
      <c r="C34" s="7"/>
      <c r="D34" s="7"/>
      <c r="E34" s="7"/>
      <c r="F34" s="7"/>
      <c r="G34" s="7"/>
      <c r="H34" s="7"/>
      <c r="I34" s="7"/>
      <c r="J34" s="7"/>
      <c r="K34" s="7"/>
      <c r="L34" s="7"/>
      <c r="M34" s="7"/>
      <c r="N34" s="7"/>
      <c r="O34" s="7"/>
      <c r="P34" s="7"/>
      <c r="Q34" s="7"/>
      <c r="R34" s="7"/>
      <c r="S34" s="7"/>
      <c r="T34" s="7"/>
      <c r="U34" s="8"/>
    </row>
  </sheetData>
  <mergeCells count="125">
    <mergeCell ref="B33:E33"/>
    <mergeCell ref="F33:J33"/>
    <mergeCell ref="K33:O33"/>
    <mergeCell ref="P33:U33"/>
    <mergeCell ref="B30:U30"/>
    <mergeCell ref="B31:E31"/>
    <mergeCell ref="F31:J31"/>
    <mergeCell ref="K31:O31"/>
    <mergeCell ref="P31:U31"/>
    <mergeCell ref="B32:E32"/>
    <mergeCell ref="F32:J32"/>
    <mergeCell ref="K32:O32"/>
    <mergeCell ref="P32:U32"/>
    <mergeCell ref="T28:U28"/>
    <mergeCell ref="B29:C29"/>
    <mergeCell ref="G29:H29"/>
    <mergeCell ref="I29:J29"/>
    <mergeCell ref="K29:L29"/>
    <mergeCell ref="M29:N29"/>
    <mergeCell ref="O29:P29"/>
    <mergeCell ref="Q29:R29"/>
    <mergeCell ref="T29:U29"/>
    <mergeCell ref="G28:H28"/>
    <mergeCell ref="I28:J28"/>
    <mergeCell ref="K28:L28"/>
    <mergeCell ref="M28:N28"/>
    <mergeCell ref="O28:P28"/>
    <mergeCell ref="Q28:R28"/>
    <mergeCell ref="T26:U26"/>
    <mergeCell ref="G27:H27"/>
    <mergeCell ref="I27:J27"/>
    <mergeCell ref="K27:L27"/>
    <mergeCell ref="M27:N27"/>
    <mergeCell ref="O27:P27"/>
    <mergeCell ref="Q27:R27"/>
    <mergeCell ref="T27:U27"/>
    <mergeCell ref="G26:H26"/>
    <mergeCell ref="I26:J26"/>
    <mergeCell ref="K26:L26"/>
    <mergeCell ref="M26:N26"/>
    <mergeCell ref="O26:P26"/>
    <mergeCell ref="Q26:R26"/>
    <mergeCell ref="T24:U24"/>
    <mergeCell ref="G25:H25"/>
    <mergeCell ref="I25:J25"/>
    <mergeCell ref="K25:L25"/>
    <mergeCell ref="M25:N25"/>
    <mergeCell ref="O25:P25"/>
    <mergeCell ref="Q25:R25"/>
    <mergeCell ref="T25:U25"/>
    <mergeCell ref="G24:H24"/>
    <mergeCell ref="I24:J24"/>
    <mergeCell ref="K24:L24"/>
    <mergeCell ref="M24:N24"/>
    <mergeCell ref="O24:P24"/>
    <mergeCell ref="Q24:R24"/>
    <mergeCell ref="T22:U22"/>
    <mergeCell ref="G23:H23"/>
    <mergeCell ref="I23:J23"/>
    <mergeCell ref="K23:L23"/>
    <mergeCell ref="M23:N23"/>
    <mergeCell ref="O23:P23"/>
    <mergeCell ref="Q23:R23"/>
    <mergeCell ref="T23:U23"/>
    <mergeCell ref="G22:H22"/>
    <mergeCell ref="I22:J22"/>
    <mergeCell ref="K22:L22"/>
    <mergeCell ref="M22:N22"/>
    <mergeCell ref="O22:P22"/>
    <mergeCell ref="Q22:R22"/>
    <mergeCell ref="T20:U20"/>
    <mergeCell ref="Y20:AC20"/>
    <mergeCell ref="G21:H21"/>
    <mergeCell ref="I21:J21"/>
    <mergeCell ref="K21:L21"/>
    <mergeCell ref="M21:N21"/>
    <mergeCell ref="O21:P21"/>
    <mergeCell ref="Q21:R21"/>
    <mergeCell ref="T21:U21"/>
    <mergeCell ref="Y21:AC21"/>
    <mergeCell ref="G20:H20"/>
    <mergeCell ref="I20:J20"/>
    <mergeCell ref="K20:L20"/>
    <mergeCell ref="M20:N20"/>
    <mergeCell ref="O20:P20"/>
    <mergeCell ref="Q20:R20"/>
    <mergeCell ref="Y18:AC18"/>
    <mergeCell ref="G19:H19"/>
    <mergeCell ref="I19:J19"/>
    <mergeCell ref="K19:L19"/>
    <mergeCell ref="M19:N19"/>
    <mergeCell ref="O19:P19"/>
    <mergeCell ref="Q19:R19"/>
    <mergeCell ref="T19:U19"/>
    <mergeCell ref="G17:H17"/>
    <mergeCell ref="I17:J17"/>
    <mergeCell ref="K17:L17"/>
    <mergeCell ref="M17:N17"/>
    <mergeCell ref="O17:P17"/>
    <mergeCell ref="Q17:R17"/>
    <mergeCell ref="C14:J14"/>
    <mergeCell ref="K14:M14"/>
    <mergeCell ref="N14:U14"/>
    <mergeCell ref="B16:B18"/>
    <mergeCell ref="C16:C18"/>
    <mergeCell ref="D16:D18"/>
    <mergeCell ref="E16:E18"/>
    <mergeCell ref="F16:F18"/>
    <mergeCell ref="G16:S16"/>
    <mergeCell ref="T16:U18"/>
    <mergeCell ref="S17:S18"/>
    <mergeCell ref="B10:U10"/>
    <mergeCell ref="B11:U11"/>
    <mergeCell ref="C12:J12"/>
    <mergeCell ref="K12:M12"/>
    <mergeCell ref="N12:U12"/>
    <mergeCell ref="C13:J13"/>
    <mergeCell ref="K13:M13"/>
    <mergeCell ref="N13:U13"/>
    <mergeCell ref="S1:T1"/>
    <mergeCell ref="S2:T2"/>
    <mergeCell ref="S3:T3"/>
    <mergeCell ref="B4:B9"/>
    <mergeCell ref="C4:U6"/>
    <mergeCell ref="C7:U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0B23E-FEB4-4DDC-A677-B23DA8B4E4D6}">
  <dimension ref="B1:AD48"/>
  <sheetViews>
    <sheetView tabSelected="1" topLeftCell="F37" zoomScale="160" zoomScaleNormal="160" workbookViewId="0">
      <selection activeCell="T52" sqref="T52"/>
    </sheetView>
  </sheetViews>
  <sheetFormatPr defaultRowHeight="12" x14ac:dyDescent="0.2"/>
  <cols>
    <col min="1" max="1" width="1.85546875" style="1" customWidth="1"/>
    <col min="2" max="2" width="23.5703125" style="1" customWidth="1"/>
    <col min="3" max="3" width="16.7109375" style="1" customWidth="1"/>
    <col min="4" max="4" width="10.5703125" style="1" customWidth="1"/>
    <col min="5" max="5" width="12.7109375" style="1" customWidth="1"/>
    <col min="6" max="6" width="8.140625" style="1" customWidth="1"/>
    <col min="7" max="7" width="7.42578125" style="1" customWidth="1"/>
    <col min="8" max="8" width="8.85546875" style="1" customWidth="1"/>
    <col min="9" max="9" width="9.140625" style="1"/>
    <col min="10" max="10" width="10" style="1" customWidth="1"/>
    <col min="11" max="11" width="6.85546875" style="1" customWidth="1"/>
    <col min="12" max="12" width="7.85546875" style="1" customWidth="1"/>
    <col min="13" max="13" width="8.140625" style="1" customWidth="1"/>
    <col min="14" max="14" width="6.140625" style="1" customWidth="1"/>
    <col min="15" max="15" width="7" style="1" customWidth="1"/>
    <col min="16" max="16" width="5.5703125" style="1" customWidth="1"/>
    <col min="17" max="17" width="7" style="1" customWidth="1"/>
    <col min="18" max="18" width="6" style="1" customWidth="1"/>
    <col min="19" max="19" width="7.140625" style="1" bestFit="1" customWidth="1"/>
    <col min="20" max="20" width="9.140625" style="1" customWidth="1"/>
    <col min="21" max="21" width="2.42578125" style="1" customWidth="1"/>
    <col min="22" max="22" width="9.140625" style="1"/>
    <col min="23" max="23" width="14.28515625" style="1" customWidth="1"/>
    <col min="24" max="28" width="9.140625" style="1"/>
    <col min="29" max="29" width="22.5703125" style="1" customWidth="1"/>
    <col min="30" max="30" width="17.7109375" style="1" customWidth="1"/>
    <col min="31" max="16384" width="9.140625" style="1"/>
  </cols>
  <sheetData>
    <row r="1" spans="2:21" ht="15" customHeight="1" x14ac:dyDescent="0.2">
      <c r="S1" s="86" t="s">
        <v>31</v>
      </c>
      <c r="T1" s="86"/>
    </row>
    <row r="2" spans="2:21" ht="15" customHeight="1" x14ac:dyDescent="0.2">
      <c r="S2" s="86" t="s">
        <v>32</v>
      </c>
      <c r="T2" s="86"/>
    </row>
    <row r="3" spans="2:21" ht="15.75" customHeight="1" thickBot="1" x14ac:dyDescent="0.25">
      <c r="S3" s="87" t="s">
        <v>36</v>
      </c>
      <c r="T3" s="87"/>
      <c r="U3" s="9"/>
    </row>
    <row r="4" spans="2:21" ht="23.25" customHeight="1" x14ac:dyDescent="0.2">
      <c r="B4" s="88"/>
      <c r="C4" s="91" t="s">
        <v>23</v>
      </c>
      <c r="D4" s="92"/>
      <c r="E4" s="92"/>
      <c r="F4" s="92"/>
      <c r="G4" s="92"/>
      <c r="H4" s="92"/>
      <c r="I4" s="92"/>
      <c r="J4" s="92"/>
      <c r="K4" s="92"/>
      <c r="L4" s="92"/>
      <c r="M4" s="92"/>
      <c r="N4" s="92"/>
      <c r="O4" s="92"/>
      <c r="P4" s="92"/>
      <c r="Q4" s="92"/>
      <c r="R4" s="92"/>
      <c r="S4" s="92"/>
      <c r="T4" s="92"/>
      <c r="U4" s="93"/>
    </row>
    <row r="5" spans="2:21" ht="15" customHeight="1" x14ac:dyDescent="0.2">
      <c r="B5" s="89"/>
      <c r="C5" s="94"/>
      <c r="D5" s="95"/>
      <c r="E5" s="95"/>
      <c r="F5" s="95"/>
      <c r="G5" s="95"/>
      <c r="H5" s="95"/>
      <c r="I5" s="95"/>
      <c r="J5" s="95"/>
      <c r="K5" s="95"/>
      <c r="L5" s="95"/>
      <c r="M5" s="95"/>
      <c r="N5" s="95"/>
      <c r="O5" s="95"/>
      <c r="P5" s="95"/>
      <c r="Q5" s="95"/>
      <c r="R5" s="95"/>
      <c r="S5" s="95"/>
      <c r="T5" s="95"/>
      <c r="U5" s="96"/>
    </row>
    <row r="6" spans="2:21" ht="15" customHeight="1" x14ac:dyDescent="0.2">
      <c r="B6" s="89"/>
      <c r="C6" s="94"/>
      <c r="D6" s="95"/>
      <c r="E6" s="95"/>
      <c r="F6" s="95"/>
      <c r="G6" s="95"/>
      <c r="H6" s="95"/>
      <c r="I6" s="95"/>
      <c r="J6" s="95"/>
      <c r="K6" s="95"/>
      <c r="L6" s="95"/>
      <c r="M6" s="95"/>
      <c r="N6" s="95"/>
      <c r="O6" s="95"/>
      <c r="P6" s="95"/>
      <c r="Q6" s="95"/>
      <c r="R6" s="95"/>
      <c r="S6" s="95"/>
      <c r="T6" s="95"/>
      <c r="U6" s="96"/>
    </row>
    <row r="7" spans="2:21" ht="15" customHeight="1" x14ac:dyDescent="0.2">
      <c r="B7" s="89"/>
      <c r="C7" s="97"/>
      <c r="D7" s="98"/>
      <c r="E7" s="98"/>
      <c r="F7" s="98"/>
      <c r="G7" s="98"/>
      <c r="H7" s="98"/>
      <c r="I7" s="98"/>
      <c r="J7" s="98"/>
      <c r="K7" s="98"/>
      <c r="L7" s="98"/>
      <c r="M7" s="98"/>
      <c r="N7" s="98"/>
      <c r="O7" s="98"/>
      <c r="P7" s="98"/>
      <c r="Q7" s="98"/>
      <c r="R7" s="98"/>
      <c r="S7" s="98"/>
      <c r="T7" s="98"/>
      <c r="U7" s="99"/>
    </row>
    <row r="8" spans="2:21" ht="11.25" customHeight="1" thickBot="1" x14ac:dyDescent="0.25">
      <c r="B8" s="89"/>
      <c r="C8" s="100"/>
      <c r="D8" s="101"/>
      <c r="E8" s="101"/>
      <c r="F8" s="101"/>
      <c r="G8" s="101"/>
      <c r="H8" s="101"/>
      <c r="I8" s="101"/>
      <c r="J8" s="101"/>
      <c r="K8" s="101"/>
      <c r="L8" s="101"/>
      <c r="M8" s="101"/>
      <c r="N8" s="101"/>
      <c r="O8" s="101"/>
      <c r="P8" s="101"/>
      <c r="Q8" s="101"/>
      <c r="R8" s="101"/>
      <c r="S8" s="101"/>
      <c r="T8" s="101"/>
      <c r="U8" s="102"/>
    </row>
    <row r="9" spans="2:21" ht="0.75" hidden="1" customHeight="1" x14ac:dyDescent="0.2">
      <c r="B9" s="90"/>
    </row>
    <row r="10" spans="2:21" s="2" customFormat="1" ht="18.75" customHeight="1" x14ac:dyDescent="0.25">
      <c r="B10" s="72" t="s">
        <v>126</v>
      </c>
      <c r="C10" s="73"/>
      <c r="D10" s="73"/>
      <c r="E10" s="73"/>
      <c r="F10" s="73"/>
      <c r="G10" s="73"/>
      <c r="H10" s="73"/>
      <c r="I10" s="73"/>
      <c r="J10" s="73"/>
      <c r="K10" s="73"/>
      <c r="L10" s="73"/>
      <c r="M10" s="73"/>
      <c r="N10" s="73"/>
      <c r="O10" s="73"/>
      <c r="P10" s="73"/>
      <c r="Q10" s="73"/>
      <c r="R10" s="73"/>
      <c r="S10" s="73"/>
      <c r="T10" s="73"/>
      <c r="U10" s="74"/>
    </row>
    <row r="11" spans="2:21" s="2" customFormat="1" ht="21.75" customHeight="1" thickBot="1" x14ac:dyDescent="0.3">
      <c r="B11" s="75" t="s">
        <v>175</v>
      </c>
      <c r="C11" s="76"/>
      <c r="D11" s="76"/>
      <c r="E11" s="76"/>
      <c r="F11" s="76"/>
      <c r="G11" s="76"/>
      <c r="H11" s="76"/>
      <c r="I11" s="76"/>
      <c r="J11" s="76"/>
      <c r="K11" s="76"/>
      <c r="L11" s="76"/>
      <c r="M11" s="76"/>
      <c r="N11" s="76"/>
      <c r="O11" s="76"/>
      <c r="P11" s="76"/>
      <c r="Q11" s="76"/>
      <c r="R11" s="76"/>
      <c r="S11" s="76"/>
      <c r="T11" s="76"/>
      <c r="U11" s="77"/>
    </row>
    <row r="12" spans="2:21" s="2" customFormat="1" ht="15.95" customHeight="1" x14ac:dyDescent="0.25">
      <c r="B12" s="3" t="s">
        <v>15</v>
      </c>
      <c r="C12" s="78" t="s">
        <v>130</v>
      </c>
      <c r="D12" s="78"/>
      <c r="E12" s="78"/>
      <c r="F12" s="78"/>
      <c r="G12" s="78"/>
      <c r="H12" s="78"/>
      <c r="I12" s="78"/>
      <c r="J12" s="78"/>
      <c r="K12" s="79" t="s">
        <v>18</v>
      </c>
      <c r="L12" s="79"/>
      <c r="M12" s="79"/>
      <c r="N12" s="78" t="s">
        <v>176</v>
      </c>
      <c r="O12" s="78"/>
      <c r="P12" s="78"/>
      <c r="Q12" s="78"/>
      <c r="R12" s="78"/>
      <c r="S12" s="78"/>
      <c r="T12" s="80"/>
      <c r="U12" s="81"/>
    </row>
    <row r="13" spans="2:21" s="2" customFormat="1" ht="15.95" customHeight="1" x14ac:dyDescent="0.25">
      <c r="B13" s="4" t="s">
        <v>16</v>
      </c>
      <c r="C13" s="82" t="s">
        <v>167</v>
      </c>
      <c r="D13" s="82"/>
      <c r="E13" s="82"/>
      <c r="F13" s="82"/>
      <c r="G13" s="82"/>
      <c r="H13" s="82"/>
      <c r="I13" s="82"/>
      <c r="J13" s="82"/>
      <c r="K13" s="83" t="s">
        <v>19</v>
      </c>
      <c r="L13" s="83"/>
      <c r="M13" s="83"/>
      <c r="N13" s="82" t="s">
        <v>58</v>
      </c>
      <c r="O13" s="82"/>
      <c r="P13" s="82"/>
      <c r="Q13" s="82"/>
      <c r="R13" s="82"/>
      <c r="S13" s="82"/>
      <c r="T13" s="84"/>
      <c r="U13" s="85"/>
    </row>
    <row r="14" spans="2:21" s="2" customFormat="1" ht="15.95" customHeight="1" thickBot="1" x14ac:dyDescent="0.3">
      <c r="B14" s="5" t="s">
        <v>17</v>
      </c>
      <c r="C14" s="103" t="s">
        <v>168</v>
      </c>
      <c r="D14" s="103"/>
      <c r="E14" s="103"/>
      <c r="F14" s="103"/>
      <c r="G14" s="103"/>
      <c r="H14" s="103"/>
      <c r="I14" s="103"/>
      <c r="J14" s="103"/>
      <c r="K14" s="104" t="s">
        <v>20</v>
      </c>
      <c r="L14" s="104"/>
      <c r="M14" s="104"/>
      <c r="N14" s="169"/>
      <c r="O14" s="170"/>
      <c r="P14" s="170"/>
      <c r="Q14" s="170"/>
      <c r="R14" s="170"/>
      <c r="S14" s="170"/>
      <c r="T14" s="171"/>
      <c r="U14" s="172"/>
    </row>
    <row r="15" spans="2:21" ht="3.75" customHeight="1" thickBot="1" x14ac:dyDescent="0.25">
      <c r="B15" s="18"/>
      <c r="C15" s="19"/>
      <c r="D15" s="19"/>
      <c r="E15" s="19"/>
      <c r="F15" s="19"/>
      <c r="G15" s="19"/>
      <c r="H15" s="19"/>
      <c r="I15" s="19"/>
      <c r="J15" s="19"/>
      <c r="K15" s="19"/>
      <c r="L15" s="19"/>
      <c r="M15" s="19"/>
      <c r="N15" s="19"/>
      <c r="O15" s="19"/>
      <c r="P15" s="19"/>
      <c r="Q15" s="19"/>
      <c r="R15" s="19"/>
      <c r="S15" s="19"/>
      <c r="T15" s="19"/>
      <c r="U15" s="20"/>
    </row>
    <row r="16" spans="2:21" ht="21.75" customHeight="1" x14ac:dyDescent="0.2">
      <c r="B16" s="107" t="s">
        <v>0</v>
      </c>
      <c r="C16" s="110" t="s">
        <v>1</v>
      </c>
      <c r="D16" s="110" t="s">
        <v>2</v>
      </c>
      <c r="E16" s="110" t="s">
        <v>3</v>
      </c>
      <c r="F16" s="110" t="s">
        <v>4</v>
      </c>
      <c r="G16" s="113" t="s">
        <v>5</v>
      </c>
      <c r="H16" s="114"/>
      <c r="I16" s="114"/>
      <c r="J16" s="114"/>
      <c r="K16" s="114"/>
      <c r="L16" s="114"/>
      <c r="M16" s="114"/>
      <c r="N16" s="114"/>
      <c r="O16" s="114"/>
      <c r="P16" s="114"/>
      <c r="Q16" s="114"/>
      <c r="R16" s="114"/>
      <c r="S16" s="114"/>
      <c r="T16" s="115" t="s">
        <v>13</v>
      </c>
      <c r="U16" s="116"/>
    </row>
    <row r="17" spans="2:30" ht="35.25" customHeight="1" x14ac:dyDescent="0.2">
      <c r="B17" s="108"/>
      <c r="C17" s="111"/>
      <c r="D17" s="111"/>
      <c r="E17" s="111"/>
      <c r="F17" s="111"/>
      <c r="G17" s="111" t="s">
        <v>6</v>
      </c>
      <c r="H17" s="111"/>
      <c r="I17" s="111" t="s">
        <v>7</v>
      </c>
      <c r="J17" s="111"/>
      <c r="K17" s="111" t="s">
        <v>8</v>
      </c>
      <c r="L17" s="111"/>
      <c r="M17" s="111" t="s">
        <v>9</v>
      </c>
      <c r="N17" s="111"/>
      <c r="O17" s="111" t="s">
        <v>10</v>
      </c>
      <c r="P17" s="111"/>
      <c r="Q17" s="111" t="s">
        <v>11</v>
      </c>
      <c r="R17" s="127"/>
      <c r="S17" s="111" t="s">
        <v>12</v>
      </c>
      <c r="T17" s="117"/>
      <c r="U17" s="118"/>
    </row>
    <row r="18" spans="2:30" ht="20.25" thickBot="1" x14ac:dyDescent="0.35">
      <c r="B18" s="109"/>
      <c r="C18" s="112"/>
      <c r="D18" s="112"/>
      <c r="E18" s="112"/>
      <c r="F18" s="112"/>
      <c r="G18" s="26">
        <f>(G43/S43)*100</f>
        <v>24</v>
      </c>
      <c r="H18" s="27" t="s">
        <v>14</v>
      </c>
      <c r="I18" s="26">
        <f>(I43/S43)*100</f>
        <v>70</v>
      </c>
      <c r="J18" s="27" t="s">
        <v>14</v>
      </c>
      <c r="K18" s="26">
        <f>(K43/S43)*100</f>
        <v>6</v>
      </c>
      <c r="L18" s="27" t="s">
        <v>14</v>
      </c>
      <c r="M18" s="26">
        <f>(M43/S43)*100</f>
        <v>0</v>
      </c>
      <c r="N18" s="27" t="s">
        <v>14</v>
      </c>
      <c r="O18" s="26">
        <f>(O43/S43)*100</f>
        <v>0</v>
      </c>
      <c r="P18" s="27" t="s">
        <v>14</v>
      </c>
      <c r="Q18" s="26">
        <f>(Q43/S43)*100</f>
        <v>0</v>
      </c>
      <c r="R18" s="27" t="s">
        <v>14</v>
      </c>
      <c r="S18" s="112"/>
      <c r="T18" s="119"/>
      <c r="U18" s="120"/>
      <c r="W18" s="23">
        <f>G18+I18+K18+M18+O18+Q18</f>
        <v>100</v>
      </c>
      <c r="Y18" s="121" t="s">
        <v>39</v>
      </c>
      <c r="Z18" s="121"/>
      <c r="AA18" s="121"/>
      <c r="AB18" s="121"/>
      <c r="AC18" s="121"/>
    </row>
    <row r="19" spans="2:30" ht="90.75" thickBot="1" x14ac:dyDescent="0.25">
      <c r="B19" s="28" t="s">
        <v>154</v>
      </c>
      <c r="C19" s="39" t="s">
        <v>153</v>
      </c>
      <c r="D19" s="29">
        <v>1</v>
      </c>
      <c r="E19" s="30">
        <f>(D19/D43)*100</f>
        <v>4</v>
      </c>
      <c r="F19" s="30">
        <f>(S43/D43)*D19</f>
        <v>2</v>
      </c>
      <c r="G19" s="157"/>
      <c r="H19" s="157"/>
      <c r="I19" s="157">
        <v>2</v>
      </c>
      <c r="J19" s="157"/>
      <c r="K19" s="157"/>
      <c r="L19" s="157"/>
      <c r="M19" s="157"/>
      <c r="N19" s="157"/>
      <c r="O19" s="157"/>
      <c r="P19" s="157"/>
      <c r="Q19" s="157"/>
      <c r="R19" s="157"/>
      <c r="S19" s="51">
        <f>SUM(G19:Q19)</f>
        <v>2</v>
      </c>
      <c r="T19" s="158" t="s">
        <v>164</v>
      </c>
      <c r="U19" s="159"/>
      <c r="X19" s="15" t="s">
        <v>33</v>
      </c>
      <c r="Y19" s="25" t="s">
        <v>37</v>
      </c>
      <c r="Z19" s="21"/>
      <c r="AA19" s="24">
        <v>50</v>
      </c>
    </row>
    <row r="20" spans="2:30" ht="48.75" customHeight="1" x14ac:dyDescent="0.2">
      <c r="B20" s="182" t="s">
        <v>131</v>
      </c>
      <c r="C20" s="45" t="s">
        <v>134</v>
      </c>
      <c r="D20" s="184">
        <v>6</v>
      </c>
      <c r="E20" s="186">
        <f>(D20/D43)*100</f>
        <v>24</v>
      </c>
      <c r="F20" s="188">
        <f>(S43/D43)*D20</f>
        <v>12</v>
      </c>
      <c r="G20" s="160"/>
      <c r="H20" s="160"/>
      <c r="I20" s="160"/>
      <c r="J20" s="160"/>
      <c r="K20" s="160">
        <v>3</v>
      </c>
      <c r="L20" s="160"/>
      <c r="M20" s="160"/>
      <c r="N20" s="160"/>
      <c r="O20" s="160"/>
      <c r="P20" s="160"/>
      <c r="Q20" s="160"/>
      <c r="R20" s="160"/>
      <c r="S20" s="35">
        <f>SUM(G20:R20)</f>
        <v>3</v>
      </c>
      <c r="T20" s="176" t="s">
        <v>156</v>
      </c>
      <c r="U20" s="131"/>
      <c r="X20" s="15"/>
      <c r="Y20" s="130" t="s">
        <v>38</v>
      </c>
      <c r="Z20" s="130"/>
      <c r="AA20" s="130"/>
      <c r="AB20" s="130"/>
      <c r="AC20" s="130"/>
    </row>
    <row r="21" spans="2:30" ht="57" customHeight="1" thickBot="1" x14ac:dyDescent="0.25">
      <c r="B21" s="183"/>
      <c r="C21" s="45" t="s">
        <v>135</v>
      </c>
      <c r="D21" s="185"/>
      <c r="E21" s="187"/>
      <c r="F21" s="187"/>
      <c r="G21" s="160">
        <v>3</v>
      </c>
      <c r="H21" s="160"/>
      <c r="I21" s="160"/>
      <c r="J21" s="160"/>
      <c r="K21" s="160"/>
      <c r="L21" s="160"/>
      <c r="M21" s="160"/>
      <c r="N21" s="160"/>
      <c r="O21" s="160"/>
      <c r="P21" s="160"/>
      <c r="Q21" s="160"/>
      <c r="R21" s="160"/>
      <c r="S21" s="35">
        <f t="shared" ref="S21:S30" si="0">SUM(G21:R21)</f>
        <v>3</v>
      </c>
      <c r="T21" s="131" t="s">
        <v>155</v>
      </c>
      <c r="U21" s="131"/>
      <c r="X21" s="15"/>
      <c r="Y21" s="25"/>
      <c r="Z21" s="21"/>
      <c r="AA21" s="24"/>
    </row>
    <row r="22" spans="2:30" ht="45" customHeight="1" x14ac:dyDescent="0.2">
      <c r="B22" s="183"/>
      <c r="C22" s="46" t="s">
        <v>132</v>
      </c>
      <c r="D22" s="185"/>
      <c r="E22" s="187"/>
      <c r="F22" s="187"/>
      <c r="G22" s="160"/>
      <c r="H22" s="160"/>
      <c r="I22" s="160">
        <v>3</v>
      </c>
      <c r="J22" s="160"/>
      <c r="K22" s="160"/>
      <c r="L22" s="160"/>
      <c r="M22" s="160"/>
      <c r="N22" s="160"/>
      <c r="O22" s="160"/>
      <c r="P22" s="160"/>
      <c r="Q22" s="160"/>
      <c r="R22" s="160"/>
      <c r="S22" s="35">
        <f t="shared" si="0"/>
        <v>3</v>
      </c>
      <c r="T22" s="176" t="s">
        <v>158</v>
      </c>
      <c r="U22" s="131"/>
      <c r="W22" s="161" t="s">
        <v>65</v>
      </c>
      <c r="X22" s="163" t="s">
        <v>75</v>
      </c>
      <c r="Y22" s="164"/>
      <c r="Z22" s="164"/>
      <c r="AA22" s="164"/>
      <c r="AB22" s="164"/>
      <c r="AC22" s="164"/>
      <c r="AD22" s="165"/>
    </row>
    <row r="23" spans="2:30" ht="45" customHeight="1" thickBot="1" x14ac:dyDescent="0.25">
      <c r="B23" s="183"/>
      <c r="C23" s="46" t="s">
        <v>133</v>
      </c>
      <c r="D23" s="185"/>
      <c r="E23" s="187"/>
      <c r="F23" s="187"/>
      <c r="G23" s="160"/>
      <c r="H23" s="160"/>
      <c r="I23" s="160">
        <v>3</v>
      </c>
      <c r="J23" s="160"/>
      <c r="K23" s="160"/>
      <c r="L23" s="160"/>
      <c r="M23" s="160"/>
      <c r="N23" s="160"/>
      <c r="O23" s="160"/>
      <c r="P23" s="160"/>
      <c r="Q23" s="160"/>
      <c r="R23" s="160"/>
      <c r="S23" s="35">
        <f t="shared" si="0"/>
        <v>3</v>
      </c>
      <c r="T23" s="176" t="s">
        <v>157</v>
      </c>
      <c r="U23" s="131"/>
      <c r="W23" s="162"/>
      <c r="X23" s="166"/>
      <c r="Y23" s="167"/>
      <c r="Z23" s="167"/>
      <c r="AA23" s="167"/>
      <c r="AB23" s="167"/>
      <c r="AC23" s="167"/>
      <c r="AD23" s="168"/>
    </row>
    <row r="24" spans="2:30" ht="35.25" customHeight="1" thickBot="1" x14ac:dyDescent="0.25">
      <c r="B24" s="189" t="s">
        <v>136</v>
      </c>
      <c r="C24" s="48" t="s">
        <v>137</v>
      </c>
      <c r="D24" s="184">
        <v>6</v>
      </c>
      <c r="E24" s="188">
        <f>(D24/D43)*100</f>
        <v>24</v>
      </c>
      <c r="F24" s="188">
        <f>(S43/D43)*D24</f>
        <v>12</v>
      </c>
      <c r="G24" s="160">
        <v>2</v>
      </c>
      <c r="H24" s="160"/>
      <c r="I24" s="160"/>
      <c r="J24" s="160"/>
      <c r="K24" s="160"/>
      <c r="L24" s="160"/>
      <c r="M24" s="160"/>
      <c r="N24" s="160"/>
      <c r="O24" s="160"/>
      <c r="P24" s="160"/>
      <c r="Q24" s="160"/>
      <c r="R24" s="160"/>
      <c r="S24" s="49">
        <f t="shared" si="0"/>
        <v>2</v>
      </c>
      <c r="T24" s="174" t="s">
        <v>127</v>
      </c>
      <c r="U24" s="175"/>
      <c r="W24" s="66"/>
      <c r="X24" s="199"/>
      <c r="Y24" s="200"/>
      <c r="Z24" s="200"/>
      <c r="AA24" s="200"/>
      <c r="AB24" s="200"/>
      <c r="AC24" s="200"/>
      <c r="AD24" s="201"/>
    </row>
    <row r="25" spans="2:30" ht="46.5" customHeight="1" thickBot="1" x14ac:dyDescent="0.25">
      <c r="B25" s="190"/>
      <c r="C25" s="47" t="s">
        <v>138</v>
      </c>
      <c r="D25" s="185"/>
      <c r="E25" s="187"/>
      <c r="F25" s="187"/>
      <c r="G25" s="160">
        <v>2</v>
      </c>
      <c r="H25" s="160"/>
      <c r="I25" s="160"/>
      <c r="J25" s="160"/>
      <c r="K25" s="160"/>
      <c r="L25" s="160"/>
      <c r="M25" s="160"/>
      <c r="N25" s="160"/>
      <c r="O25" s="160"/>
      <c r="P25" s="160"/>
      <c r="Q25" s="160"/>
      <c r="R25" s="160"/>
      <c r="S25" s="35">
        <f t="shared" si="0"/>
        <v>2</v>
      </c>
      <c r="T25" s="173" t="s">
        <v>159</v>
      </c>
      <c r="U25" s="128"/>
      <c r="W25" s="59" t="s">
        <v>68</v>
      </c>
      <c r="X25" s="202" t="s">
        <v>69</v>
      </c>
      <c r="Y25" s="202"/>
      <c r="Z25" s="202"/>
      <c r="AA25" s="202"/>
      <c r="AB25" s="202"/>
      <c r="AC25" s="202"/>
      <c r="AD25" s="203"/>
    </row>
    <row r="26" spans="2:30" ht="67.5" customHeight="1" thickBot="1" x14ac:dyDescent="0.3">
      <c r="B26" s="190"/>
      <c r="C26" s="47" t="s">
        <v>139</v>
      </c>
      <c r="D26" s="185"/>
      <c r="E26" s="187"/>
      <c r="F26" s="187"/>
      <c r="G26" s="160"/>
      <c r="H26" s="160"/>
      <c r="I26" s="160">
        <v>1</v>
      </c>
      <c r="J26" s="160"/>
      <c r="K26" s="160"/>
      <c r="L26" s="160"/>
      <c r="M26" s="160"/>
      <c r="N26" s="160"/>
      <c r="O26" s="160"/>
      <c r="P26" s="160"/>
      <c r="Q26" s="160"/>
      <c r="R26" s="160"/>
      <c r="S26" s="35">
        <f t="shared" si="0"/>
        <v>1</v>
      </c>
      <c r="T26" s="128">
        <v>15</v>
      </c>
      <c r="U26" s="128"/>
      <c r="W26" s="61" t="s">
        <v>70</v>
      </c>
      <c r="X26" s="204" t="s">
        <v>74</v>
      </c>
      <c r="Y26" s="205"/>
      <c r="Z26" s="205"/>
      <c r="AA26" s="205"/>
      <c r="AB26" s="205"/>
      <c r="AC26" s="205"/>
      <c r="AD26" s="206"/>
    </row>
    <row r="27" spans="2:30" ht="63" customHeight="1" thickBot="1" x14ac:dyDescent="0.3">
      <c r="B27" s="190"/>
      <c r="C27" s="47" t="s">
        <v>140</v>
      </c>
      <c r="D27" s="185"/>
      <c r="E27" s="187"/>
      <c r="F27" s="187"/>
      <c r="G27" s="154"/>
      <c r="H27" s="155"/>
      <c r="I27" s="154">
        <v>1</v>
      </c>
      <c r="J27" s="155"/>
      <c r="K27" s="154"/>
      <c r="L27" s="155"/>
      <c r="M27" s="154"/>
      <c r="N27" s="155"/>
      <c r="O27" s="154"/>
      <c r="P27" s="155"/>
      <c r="Q27" s="154"/>
      <c r="R27" s="155"/>
      <c r="S27" s="35">
        <f t="shared" si="0"/>
        <v>1</v>
      </c>
      <c r="T27" s="134">
        <v>16</v>
      </c>
      <c r="U27" s="156"/>
      <c r="W27" s="69"/>
      <c r="X27" s="67"/>
      <c r="Y27" s="70"/>
      <c r="Z27" s="70"/>
      <c r="AA27" s="70"/>
      <c r="AB27" s="70"/>
      <c r="AC27" s="70"/>
      <c r="AD27" s="71"/>
    </row>
    <row r="28" spans="2:30" ht="34.5" customHeight="1" thickBot="1" x14ac:dyDescent="0.3">
      <c r="B28" s="190"/>
      <c r="C28" s="47" t="s">
        <v>141</v>
      </c>
      <c r="D28" s="185"/>
      <c r="E28" s="187"/>
      <c r="F28" s="187"/>
      <c r="G28" s="154"/>
      <c r="H28" s="155"/>
      <c r="I28" s="154">
        <v>1</v>
      </c>
      <c r="J28" s="155"/>
      <c r="K28" s="154"/>
      <c r="L28" s="155"/>
      <c r="M28" s="154"/>
      <c r="N28" s="155"/>
      <c r="O28" s="154"/>
      <c r="P28" s="155"/>
      <c r="Q28" s="154"/>
      <c r="R28" s="155"/>
      <c r="S28" s="35">
        <f t="shared" si="0"/>
        <v>1</v>
      </c>
      <c r="T28" s="134">
        <v>17</v>
      </c>
      <c r="U28" s="156"/>
      <c r="W28" s="69"/>
      <c r="X28" s="67"/>
      <c r="Y28" s="70"/>
      <c r="Z28" s="70"/>
      <c r="AA28" s="70"/>
      <c r="AB28" s="70"/>
      <c r="AC28" s="70"/>
      <c r="AD28" s="71"/>
    </row>
    <row r="29" spans="2:30" ht="69.75" customHeight="1" thickBot="1" x14ac:dyDescent="0.3">
      <c r="B29" s="190"/>
      <c r="C29" s="47" t="s">
        <v>142</v>
      </c>
      <c r="D29" s="185"/>
      <c r="E29" s="187"/>
      <c r="F29" s="187"/>
      <c r="G29" s="154"/>
      <c r="H29" s="155"/>
      <c r="I29" s="154">
        <v>1</v>
      </c>
      <c r="J29" s="155"/>
      <c r="K29" s="154"/>
      <c r="L29" s="155"/>
      <c r="M29" s="154"/>
      <c r="N29" s="155"/>
      <c r="O29" s="154"/>
      <c r="P29" s="155"/>
      <c r="Q29" s="154"/>
      <c r="R29" s="155"/>
      <c r="S29" s="35">
        <f t="shared" si="0"/>
        <v>1</v>
      </c>
      <c r="T29" s="134">
        <v>18</v>
      </c>
      <c r="U29" s="156"/>
      <c r="W29" s="69"/>
      <c r="X29" s="67"/>
      <c r="Y29" s="70"/>
      <c r="Z29" s="70"/>
      <c r="AA29" s="70"/>
      <c r="AB29" s="70"/>
      <c r="AC29" s="70"/>
      <c r="AD29" s="71"/>
    </row>
    <row r="30" spans="2:30" ht="42.75" customHeight="1" thickBot="1" x14ac:dyDescent="0.3">
      <c r="B30" s="190"/>
      <c r="C30" s="47" t="s">
        <v>143</v>
      </c>
      <c r="D30" s="185"/>
      <c r="E30" s="187"/>
      <c r="F30" s="187"/>
      <c r="G30" s="154">
        <v>2</v>
      </c>
      <c r="H30" s="155"/>
      <c r="I30" s="154"/>
      <c r="J30" s="155"/>
      <c r="K30" s="154"/>
      <c r="L30" s="155"/>
      <c r="M30" s="154"/>
      <c r="N30" s="155"/>
      <c r="O30" s="154"/>
      <c r="P30" s="155"/>
      <c r="Q30" s="154"/>
      <c r="R30" s="155"/>
      <c r="S30" s="35">
        <f t="shared" si="0"/>
        <v>2</v>
      </c>
      <c r="T30" s="134" t="s">
        <v>128</v>
      </c>
      <c r="U30" s="156"/>
      <c r="W30" s="69"/>
      <c r="X30" s="67"/>
      <c r="Y30" s="70"/>
      <c r="Z30" s="70"/>
      <c r="AA30" s="70"/>
      <c r="AB30" s="70"/>
      <c r="AC30" s="70"/>
      <c r="AD30" s="71"/>
    </row>
    <row r="31" spans="2:30" ht="62.25" customHeight="1" thickBot="1" x14ac:dyDescent="0.25">
      <c r="B31" s="191"/>
      <c r="C31" s="47" t="s">
        <v>144</v>
      </c>
      <c r="D31" s="179"/>
      <c r="E31" s="192"/>
      <c r="F31" s="192"/>
      <c r="G31" s="160"/>
      <c r="H31" s="160"/>
      <c r="I31" s="160">
        <v>2</v>
      </c>
      <c r="J31" s="160"/>
      <c r="K31" s="160"/>
      <c r="L31" s="160"/>
      <c r="M31" s="160"/>
      <c r="N31" s="160"/>
      <c r="O31" s="160"/>
      <c r="P31" s="160"/>
      <c r="Q31" s="160"/>
      <c r="R31" s="160"/>
      <c r="S31" s="35">
        <f t="shared" ref="S31:S42" si="1">SUM(G31:Q31)</f>
        <v>2</v>
      </c>
      <c r="T31" s="128" t="s">
        <v>129</v>
      </c>
      <c r="U31" s="128"/>
      <c r="W31" s="68"/>
      <c r="X31" s="199"/>
      <c r="Y31" s="200"/>
      <c r="Z31" s="200"/>
      <c r="AA31" s="200"/>
      <c r="AB31" s="200"/>
      <c r="AC31" s="200"/>
      <c r="AD31" s="201"/>
    </row>
    <row r="32" spans="2:30" ht="63.75" customHeight="1" thickBot="1" x14ac:dyDescent="0.25">
      <c r="B32" s="189" t="s">
        <v>145</v>
      </c>
      <c r="C32" s="48" t="s">
        <v>146</v>
      </c>
      <c r="D32" s="184">
        <v>6</v>
      </c>
      <c r="E32" s="188">
        <f>(D32/D43)*100</f>
        <v>24</v>
      </c>
      <c r="F32" s="188">
        <f>(S43/D43)*D32</f>
        <v>12</v>
      </c>
      <c r="G32" s="195"/>
      <c r="H32" s="196"/>
      <c r="I32" s="194">
        <v>6</v>
      </c>
      <c r="J32" s="194"/>
      <c r="K32" s="195"/>
      <c r="L32" s="196"/>
      <c r="M32" s="194"/>
      <c r="N32" s="194"/>
      <c r="O32" s="195"/>
      <c r="P32" s="196"/>
      <c r="Q32" s="194"/>
      <c r="R32" s="194"/>
      <c r="S32" s="49">
        <f t="shared" si="1"/>
        <v>6</v>
      </c>
      <c r="T32" s="193" t="s">
        <v>160</v>
      </c>
      <c r="U32" s="175"/>
      <c r="W32" s="62" t="s">
        <v>72</v>
      </c>
      <c r="X32" s="204" t="s">
        <v>73</v>
      </c>
      <c r="Y32" s="205"/>
      <c r="Z32" s="205"/>
      <c r="AA32" s="205"/>
      <c r="AB32" s="205"/>
      <c r="AC32" s="205"/>
      <c r="AD32" s="206"/>
    </row>
    <row r="33" spans="2:30" ht="43.5" customHeight="1" x14ac:dyDescent="0.2">
      <c r="B33" s="190"/>
      <c r="C33" s="47" t="s">
        <v>147</v>
      </c>
      <c r="D33" s="185"/>
      <c r="E33" s="187"/>
      <c r="F33" s="187"/>
      <c r="G33" s="160"/>
      <c r="H33" s="160"/>
      <c r="I33" s="160">
        <v>6</v>
      </c>
      <c r="J33" s="160"/>
      <c r="K33" s="160"/>
      <c r="L33" s="160"/>
      <c r="M33" s="160"/>
      <c r="N33" s="160"/>
      <c r="O33" s="160"/>
      <c r="P33" s="160"/>
      <c r="Q33" s="160"/>
      <c r="R33" s="160"/>
      <c r="S33" s="35">
        <f t="shared" si="1"/>
        <v>6</v>
      </c>
      <c r="T33" s="173" t="s">
        <v>163</v>
      </c>
      <c r="U33" s="128"/>
      <c r="W33" s="58"/>
      <c r="X33" s="60"/>
      <c r="Y33" s="54"/>
      <c r="Z33" s="54"/>
      <c r="AA33" s="54"/>
      <c r="AB33" s="54"/>
      <c r="AC33" s="54"/>
    </row>
    <row r="34" spans="2:30" ht="39" customHeight="1" x14ac:dyDescent="0.2">
      <c r="B34" s="189" t="s">
        <v>148</v>
      </c>
      <c r="C34" s="48" t="s">
        <v>149</v>
      </c>
      <c r="D34" s="197">
        <v>6</v>
      </c>
      <c r="E34" s="188">
        <f>(D34/D43)*100</f>
        <v>24</v>
      </c>
      <c r="F34" s="188">
        <f>(S43/D43)*D34</f>
        <v>12</v>
      </c>
      <c r="G34" s="160"/>
      <c r="H34" s="160"/>
      <c r="I34" s="160">
        <v>3</v>
      </c>
      <c r="J34" s="160"/>
      <c r="K34" s="160"/>
      <c r="L34" s="160"/>
      <c r="M34" s="160"/>
      <c r="N34" s="160"/>
      <c r="O34" s="160"/>
      <c r="P34" s="160"/>
      <c r="Q34" s="160"/>
      <c r="R34" s="160"/>
      <c r="S34" s="35">
        <f t="shared" si="1"/>
        <v>3</v>
      </c>
      <c r="T34" s="128" t="s">
        <v>161</v>
      </c>
      <c r="U34" s="128"/>
      <c r="W34" s="207"/>
      <c r="X34" s="209"/>
      <c r="Y34" s="210"/>
      <c r="Z34" s="210"/>
      <c r="AA34" s="210"/>
      <c r="AB34" s="210"/>
      <c r="AC34" s="210"/>
      <c r="AD34" s="211"/>
    </row>
    <row r="35" spans="2:30" ht="58.5" customHeight="1" thickBot="1" x14ac:dyDescent="0.25">
      <c r="B35" s="190"/>
      <c r="C35" s="47" t="s">
        <v>150</v>
      </c>
      <c r="D35" s="198"/>
      <c r="E35" s="187"/>
      <c r="F35" s="187"/>
      <c r="G35" s="160">
        <v>3</v>
      </c>
      <c r="H35" s="160"/>
      <c r="I35" s="160"/>
      <c r="J35" s="160"/>
      <c r="K35" s="160"/>
      <c r="L35" s="160"/>
      <c r="M35" s="160"/>
      <c r="N35" s="160"/>
      <c r="O35" s="160"/>
      <c r="P35" s="160"/>
      <c r="Q35" s="160"/>
      <c r="R35" s="160"/>
      <c r="S35" s="35">
        <f t="shared" si="1"/>
        <v>3</v>
      </c>
      <c r="T35" s="128" t="s">
        <v>162</v>
      </c>
      <c r="U35" s="128"/>
      <c r="W35" s="208"/>
      <c r="X35" s="199"/>
      <c r="Y35" s="200"/>
      <c r="Z35" s="200"/>
      <c r="AA35" s="200"/>
      <c r="AB35" s="200"/>
      <c r="AC35" s="200"/>
      <c r="AD35" s="201"/>
    </row>
    <row r="36" spans="2:30" ht="55.5" customHeight="1" thickBot="1" x14ac:dyDescent="0.25">
      <c r="B36" s="190"/>
      <c r="C36" s="47" t="s">
        <v>151</v>
      </c>
      <c r="D36" s="198"/>
      <c r="E36" s="187"/>
      <c r="F36" s="187"/>
      <c r="G36" s="160"/>
      <c r="H36" s="160"/>
      <c r="I36" s="160">
        <v>3</v>
      </c>
      <c r="J36" s="160"/>
      <c r="K36" s="160"/>
      <c r="L36" s="160"/>
      <c r="M36" s="160"/>
      <c r="N36" s="160"/>
      <c r="O36" s="160"/>
      <c r="P36" s="160"/>
      <c r="Q36" s="160"/>
      <c r="R36" s="160"/>
      <c r="S36" s="35">
        <f t="shared" si="1"/>
        <v>3</v>
      </c>
      <c r="T36" s="128" t="s">
        <v>166</v>
      </c>
      <c r="U36" s="128"/>
      <c r="W36" s="59" t="s">
        <v>68</v>
      </c>
      <c r="X36" s="202" t="s">
        <v>77</v>
      </c>
      <c r="Y36" s="202"/>
      <c r="Z36" s="202"/>
      <c r="AA36" s="202"/>
      <c r="AB36" s="202"/>
      <c r="AC36" s="202"/>
      <c r="AD36" s="203"/>
    </row>
    <row r="37" spans="2:30" ht="48.75" customHeight="1" thickBot="1" x14ac:dyDescent="0.3">
      <c r="B37" s="190"/>
      <c r="C37" s="47" t="s">
        <v>152</v>
      </c>
      <c r="D37" s="198"/>
      <c r="E37" s="187"/>
      <c r="F37" s="187"/>
      <c r="G37" s="160"/>
      <c r="H37" s="160"/>
      <c r="I37" s="160">
        <v>3</v>
      </c>
      <c r="J37" s="160"/>
      <c r="K37" s="160"/>
      <c r="L37" s="160"/>
      <c r="M37" s="160"/>
      <c r="N37" s="160"/>
      <c r="O37" s="160"/>
      <c r="P37" s="160"/>
      <c r="Q37" s="160"/>
      <c r="R37" s="160"/>
      <c r="S37" s="35">
        <f t="shared" si="1"/>
        <v>3</v>
      </c>
      <c r="T37" s="173" t="s">
        <v>165</v>
      </c>
      <c r="U37" s="128"/>
      <c r="W37" s="61" t="s">
        <v>70</v>
      </c>
      <c r="X37" s="204" t="s">
        <v>74</v>
      </c>
      <c r="Y37" s="205"/>
      <c r="Z37" s="205"/>
      <c r="AA37" s="205"/>
      <c r="AB37" s="205"/>
      <c r="AC37" s="205"/>
      <c r="AD37" s="206"/>
    </row>
    <row r="38" spans="2:30" ht="12" hidden="1" customHeight="1" x14ac:dyDescent="0.2">
      <c r="B38" s="31"/>
      <c r="C38" s="43"/>
      <c r="D38" s="33"/>
      <c r="E38" s="34">
        <f>(S38/S43)*100</f>
        <v>0</v>
      </c>
      <c r="F38" s="35">
        <f>(S44/D43)*D38</f>
        <v>0</v>
      </c>
      <c r="G38" s="177"/>
      <c r="H38" s="179"/>
      <c r="I38" s="177"/>
      <c r="J38" s="179"/>
      <c r="K38" s="177"/>
      <c r="L38" s="179"/>
      <c r="M38" s="177"/>
      <c r="N38" s="179"/>
      <c r="O38" s="177"/>
      <c r="P38" s="179"/>
      <c r="Q38" s="177"/>
      <c r="R38" s="179"/>
      <c r="S38" s="44">
        <f t="shared" si="1"/>
        <v>0</v>
      </c>
      <c r="T38" s="177"/>
      <c r="U38" s="178"/>
      <c r="W38" s="212"/>
      <c r="X38" s="214"/>
      <c r="Y38" s="215"/>
      <c r="Z38" s="215"/>
      <c r="AA38" s="215"/>
      <c r="AB38" s="215"/>
      <c r="AC38" s="215"/>
      <c r="AD38" s="216"/>
    </row>
    <row r="39" spans="2:30" ht="12" hidden="1" customHeight="1" x14ac:dyDescent="0.2">
      <c r="B39" s="31"/>
      <c r="C39" s="32"/>
      <c r="D39" s="33"/>
      <c r="E39" s="34">
        <f>(S39/S43)*100</f>
        <v>0</v>
      </c>
      <c r="F39" s="35">
        <f>(S45/D43)*D39</f>
        <v>0</v>
      </c>
      <c r="G39" s="132"/>
      <c r="H39" s="133"/>
      <c r="I39" s="132"/>
      <c r="J39" s="133"/>
      <c r="K39" s="132"/>
      <c r="L39" s="133"/>
      <c r="M39" s="132"/>
      <c r="N39" s="133"/>
      <c r="O39" s="132"/>
      <c r="P39" s="133"/>
      <c r="Q39" s="132"/>
      <c r="R39" s="133"/>
      <c r="S39" s="34">
        <f t="shared" si="1"/>
        <v>0</v>
      </c>
      <c r="T39" s="132"/>
      <c r="U39" s="137"/>
      <c r="W39" s="212"/>
      <c r="X39" s="214"/>
      <c r="Y39" s="215"/>
      <c r="Z39" s="215"/>
      <c r="AA39" s="215"/>
      <c r="AB39" s="215"/>
      <c r="AC39" s="215"/>
      <c r="AD39" s="216"/>
    </row>
    <row r="40" spans="2:30" ht="12" hidden="1" customHeight="1" x14ac:dyDescent="0.2">
      <c r="B40" s="31"/>
      <c r="C40" s="32"/>
      <c r="D40" s="33"/>
      <c r="E40" s="34">
        <f>(S40/S43)*100</f>
        <v>0</v>
      </c>
      <c r="F40" s="35">
        <f>(S46/D43)*D40</f>
        <v>0</v>
      </c>
      <c r="G40" s="132"/>
      <c r="H40" s="133"/>
      <c r="I40" s="131"/>
      <c r="J40" s="131"/>
      <c r="K40" s="131"/>
      <c r="L40" s="131"/>
      <c r="M40" s="132"/>
      <c r="N40" s="133"/>
      <c r="O40" s="132"/>
      <c r="P40" s="133"/>
      <c r="Q40" s="132"/>
      <c r="R40" s="133"/>
      <c r="S40" s="34">
        <f t="shared" si="1"/>
        <v>0</v>
      </c>
      <c r="T40" s="132"/>
      <c r="U40" s="137"/>
      <c r="W40" s="212"/>
      <c r="X40" s="214"/>
      <c r="Y40" s="215"/>
      <c r="Z40" s="215"/>
      <c r="AA40" s="215"/>
      <c r="AB40" s="215"/>
      <c r="AC40" s="215"/>
      <c r="AD40" s="216"/>
    </row>
    <row r="41" spans="2:30" ht="12" hidden="1" customHeight="1" x14ac:dyDescent="0.2">
      <c r="B41" s="31"/>
      <c r="C41" s="32"/>
      <c r="D41" s="33"/>
      <c r="E41" s="34">
        <f>(S41/S43)*100</f>
        <v>0</v>
      </c>
      <c r="F41" s="35">
        <f>(S47/D43)*D41</f>
        <v>0</v>
      </c>
      <c r="G41" s="132"/>
      <c r="H41" s="133"/>
      <c r="I41" s="132"/>
      <c r="J41" s="133"/>
      <c r="K41" s="132"/>
      <c r="L41" s="133"/>
      <c r="M41" s="132"/>
      <c r="N41" s="133"/>
      <c r="O41" s="132"/>
      <c r="P41" s="133"/>
      <c r="Q41" s="132"/>
      <c r="R41" s="133"/>
      <c r="S41" s="34">
        <f t="shared" si="1"/>
        <v>0</v>
      </c>
      <c r="T41" s="132"/>
      <c r="U41" s="137"/>
      <c r="W41" s="212"/>
      <c r="X41" s="214"/>
      <c r="Y41" s="215"/>
      <c r="Z41" s="215"/>
      <c r="AA41" s="215"/>
      <c r="AB41" s="215"/>
      <c r="AC41" s="215"/>
      <c r="AD41" s="216"/>
    </row>
    <row r="42" spans="2:30" ht="12" hidden="1" customHeight="1" x14ac:dyDescent="0.2">
      <c r="B42" s="36"/>
      <c r="C42" s="37"/>
      <c r="D42" s="33"/>
      <c r="E42" s="34">
        <f>(S42/S43)*100</f>
        <v>0</v>
      </c>
      <c r="F42" s="35">
        <f>(S48/D43)*D42</f>
        <v>0</v>
      </c>
      <c r="G42" s="131"/>
      <c r="H42" s="131"/>
      <c r="I42" s="131"/>
      <c r="J42" s="131"/>
      <c r="K42" s="131"/>
      <c r="L42" s="131"/>
      <c r="M42" s="131"/>
      <c r="N42" s="131"/>
      <c r="O42" s="131"/>
      <c r="P42" s="131"/>
      <c r="Q42" s="131"/>
      <c r="R42" s="131"/>
      <c r="S42" s="34">
        <f t="shared" si="1"/>
        <v>0</v>
      </c>
      <c r="T42" s="131"/>
      <c r="U42" s="138"/>
      <c r="W42" s="212"/>
      <c r="X42" s="214"/>
      <c r="Y42" s="215"/>
      <c r="Z42" s="215"/>
      <c r="AA42" s="215"/>
      <c r="AB42" s="215"/>
      <c r="AC42" s="215"/>
      <c r="AD42" s="216"/>
    </row>
    <row r="43" spans="2:30" s="13" customFormat="1" ht="27" customHeight="1" thickBot="1" x14ac:dyDescent="0.3">
      <c r="B43" s="139" t="s">
        <v>35</v>
      </c>
      <c r="C43" s="140"/>
      <c r="D43" s="38">
        <f>SUM(D19:D42)</f>
        <v>25</v>
      </c>
      <c r="E43" s="56">
        <f>SUM(E19:E37)</f>
        <v>100</v>
      </c>
      <c r="F43" s="56">
        <f>SUM(F19:F37)</f>
        <v>50</v>
      </c>
      <c r="G43" s="180">
        <f>SUM(G19:G42)</f>
        <v>12</v>
      </c>
      <c r="H43" s="181"/>
      <c r="I43" s="180">
        <f>SUM(I19:I42)</f>
        <v>35</v>
      </c>
      <c r="J43" s="181"/>
      <c r="K43" s="180">
        <f>SUM(K19:K42)</f>
        <v>3</v>
      </c>
      <c r="L43" s="181"/>
      <c r="M43" s="180">
        <f>SUM(M19:M42)</f>
        <v>0</v>
      </c>
      <c r="N43" s="181"/>
      <c r="O43" s="180">
        <f>SUM(O19:O42)</f>
        <v>0</v>
      </c>
      <c r="P43" s="181"/>
      <c r="Q43" s="180">
        <f>SUM(Q19:Q42)</f>
        <v>0</v>
      </c>
      <c r="R43" s="181"/>
      <c r="S43" s="57">
        <f>AA19</f>
        <v>50</v>
      </c>
      <c r="T43" s="143">
        <v>50</v>
      </c>
      <c r="U43" s="144"/>
      <c r="V43" s="22"/>
      <c r="W43" s="213"/>
      <c r="X43" s="217"/>
      <c r="Y43" s="218"/>
      <c r="Z43" s="218"/>
      <c r="AA43" s="218"/>
      <c r="AB43" s="218"/>
      <c r="AC43" s="218"/>
      <c r="AD43" s="219"/>
    </row>
    <row r="44" spans="2:30" ht="4.5" customHeight="1" thickBot="1" x14ac:dyDescent="0.25">
      <c r="B44" s="145"/>
      <c r="C44" s="145"/>
      <c r="D44" s="145"/>
      <c r="E44" s="145"/>
      <c r="F44" s="145"/>
      <c r="G44" s="145"/>
      <c r="H44" s="145"/>
      <c r="I44" s="145"/>
      <c r="J44" s="145"/>
      <c r="K44" s="145"/>
      <c r="L44" s="145"/>
      <c r="M44" s="145"/>
      <c r="N44" s="145"/>
      <c r="O44" s="145"/>
      <c r="P44" s="145"/>
      <c r="Q44" s="145"/>
      <c r="R44" s="145"/>
      <c r="S44" s="145"/>
      <c r="T44" s="145"/>
      <c r="U44" s="145"/>
    </row>
    <row r="45" spans="2:30" ht="27" customHeight="1" x14ac:dyDescent="0.2">
      <c r="B45" s="146" t="s">
        <v>24</v>
      </c>
      <c r="C45" s="147"/>
      <c r="D45" s="147"/>
      <c r="E45" s="147"/>
      <c r="F45" s="147" t="s">
        <v>25</v>
      </c>
      <c r="G45" s="147"/>
      <c r="H45" s="147"/>
      <c r="I45" s="147"/>
      <c r="J45" s="147"/>
      <c r="K45" s="148"/>
      <c r="L45" s="148"/>
      <c r="M45" s="148"/>
      <c r="N45" s="148"/>
      <c r="O45" s="148"/>
      <c r="P45" s="147" t="s">
        <v>26</v>
      </c>
      <c r="Q45" s="147"/>
      <c r="R45" s="147"/>
      <c r="S45" s="147"/>
      <c r="T45" s="147"/>
      <c r="U45" s="149"/>
    </row>
    <row r="46" spans="2:30" s="14" customFormat="1" ht="17.25" customHeight="1" x14ac:dyDescent="0.2">
      <c r="B46" s="150" t="s">
        <v>169</v>
      </c>
      <c r="C46" s="151"/>
      <c r="D46" s="151"/>
      <c r="E46" s="151"/>
      <c r="F46" s="152" t="s">
        <v>174</v>
      </c>
      <c r="G46" s="151"/>
      <c r="H46" s="151"/>
      <c r="I46" s="151"/>
      <c r="J46" s="151"/>
      <c r="K46" s="152" t="s">
        <v>173</v>
      </c>
      <c r="L46" s="152"/>
      <c r="M46" s="152"/>
      <c r="N46" s="152"/>
      <c r="O46" s="152"/>
      <c r="P46" s="152" t="s">
        <v>172</v>
      </c>
      <c r="Q46" s="151"/>
      <c r="R46" s="151"/>
      <c r="S46" s="151"/>
      <c r="T46" s="151"/>
      <c r="U46" s="153"/>
    </row>
    <row r="47" spans="2:30" ht="11.25" customHeight="1" x14ac:dyDescent="0.2">
      <c r="B47" s="97" t="s">
        <v>27</v>
      </c>
      <c r="C47" s="98"/>
      <c r="D47" s="98"/>
      <c r="E47" s="98"/>
      <c r="F47" s="98" t="s">
        <v>170</v>
      </c>
      <c r="G47" s="98"/>
      <c r="H47" s="98"/>
      <c r="I47" s="98"/>
      <c r="J47" s="98"/>
      <c r="K47" s="98" t="s">
        <v>171</v>
      </c>
      <c r="L47" s="98"/>
      <c r="M47" s="98"/>
      <c r="N47" s="98"/>
      <c r="O47" s="98"/>
      <c r="P47" s="98" t="s">
        <v>28</v>
      </c>
      <c r="Q47" s="98"/>
      <c r="R47" s="98"/>
      <c r="S47" s="98"/>
      <c r="T47" s="98"/>
      <c r="U47" s="99"/>
    </row>
    <row r="48" spans="2:30" ht="9.75" customHeight="1" thickBot="1" x14ac:dyDescent="0.25">
      <c r="B48" s="6"/>
      <c r="C48" s="7"/>
      <c r="D48" s="7"/>
      <c r="E48" s="7"/>
      <c r="F48" s="7"/>
      <c r="G48" s="7"/>
      <c r="H48" s="7"/>
      <c r="I48" s="7"/>
      <c r="J48" s="7"/>
      <c r="K48" s="7"/>
      <c r="L48" s="7"/>
      <c r="M48" s="7"/>
      <c r="N48" s="7"/>
      <c r="O48" s="7"/>
      <c r="P48" s="7"/>
      <c r="Q48" s="7"/>
      <c r="R48" s="7"/>
      <c r="S48" s="7"/>
      <c r="T48" s="7"/>
      <c r="U48" s="8"/>
    </row>
  </sheetData>
  <mergeCells count="251">
    <mergeCell ref="W38:W43"/>
    <mergeCell ref="X38:AD43"/>
    <mergeCell ref="X32:AD32"/>
    <mergeCell ref="T26:U26"/>
    <mergeCell ref="T27:U27"/>
    <mergeCell ref="T42:U42"/>
    <mergeCell ref="T40:U40"/>
    <mergeCell ref="G41:H41"/>
    <mergeCell ref="G31:H31"/>
    <mergeCell ref="I31:J31"/>
    <mergeCell ref="K31:L31"/>
    <mergeCell ref="M31:N31"/>
    <mergeCell ref="O31:P31"/>
    <mergeCell ref="Q31:R31"/>
    <mergeCell ref="T31:U31"/>
    <mergeCell ref="M26:N26"/>
    <mergeCell ref="O26:P26"/>
    <mergeCell ref="Q26:R26"/>
    <mergeCell ref="G27:H27"/>
    <mergeCell ref="I27:J27"/>
    <mergeCell ref="K27:L27"/>
    <mergeCell ref="I41:J41"/>
    <mergeCell ref="K41:L41"/>
    <mergeCell ref="M41:N41"/>
    <mergeCell ref="X24:AD24"/>
    <mergeCell ref="X25:AD25"/>
    <mergeCell ref="X26:AD26"/>
    <mergeCell ref="X31:AD31"/>
    <mergeCell ref="F24:F31"/>
    <mergeCell ref="F32:F33"/>
    <mergeCell ref="F34:F37"/>
    <mergeCell ref="W34:W35"/>
    <mergeCell ref="X34:AD35"/>
    <mergeCell ref="X36:AD36"/>
    <mergeCell ref="X37:AD37"/>
    <mergeCell ref="M37:N37"/>
    <mergeCell ref="O37:P37"/>
    <mergeCell ref="Q37:R37"/>
    <mergeCell ref="T34:U34"/>
    <mergeCell ref="T35:U35"/>
    <mergeCell ref="T36:U36"/>
    <mergeCell ref="T37:U37"/>
    <mergeCell ref="M30:N30"/>
    <mergeCell ref="O30:P30"/>
    <mergeCell ref="Q30:R30"/>
    <mergeCell ref="T30:U30"/>
    <mergeCell ref="G28:H28"/>
    <mergeCell ref="I28:J28"/>
    <mergeCell ref="B34:B37"/>
    <mergeCell ref="D34:D37"/>
    <mergeCell ref="E34:E37"/>
    <mergeCell ref="G34:H34"/>
    <mergeCell ref="I34:J34"/>
    <mergeCell ref="K34:L34"/>
    <mergeCell ref="M34:N34"/>
    <mergeCell ref="O34:P34"/>
    <mergeCell ref="Q34:R34"/>
    <mergeCell ref="G35:H35"/>
    <mergeCell ref="I35:J35"/>
    <mergeCell ref="K35:L35"/>
    <mergeCell ref="M35:N35"/>
    <mergeCell ref="O35:P35"/>
    <mergeCell ref="Q35:R35"/>
    <mergeCell ref="G36:H36"/>
    <mergeCell ref="I36:J36"/>
    <mergeCell ref="K36:L36"/>
    <mergeCell ref="M36:N36"/>
    <mergeCell ref="O36:P36"/>
    <mergeCell ref="Q36:R36"/>
    <mergeCell ref="G37:H37"/>
    <mergeCell ref="I37:J37"/>
    <mergeCell ref="K37:L37"/>
    <mergeCell ref="B32:B33"/>
    <mergeCell ref="D32:D33"/>
    <mergeCell ref="E32:E33"/>
    <mergeCell ref="T32:U32"/>
    <mergeCell ref="Q32:R32"/>
    <mergeCell ref="O32:P32"/>
    <mergeCell ref="M32:N32"/>
    <mergeCell ref="K32:L32"/>
    <mergeCell ref="I32:J32"/>
    <mergeCell ref="G32:H32"/>
    <mergeCell ref="G33:H33"/>
    <mergeCell ref="I33:J33"/>
    <mergeCell ref="K33:L33"/>
    <mergeCell ref="M33:N33"/>
    <mergeCell ref="O33:P33"/>
    <mergeCell ref="Q33:R33"/>
    <mergeCell ref="T33:U33"/>
    <mergeCell ref="B24:B31"/>
    <mergeCell ref="D24:D31"/>
    <mergeCell ref="E24:E31"/>
    <mergeCell ref="G24:H24"/>
    <mergeCell ref="I24:J24"/>
    <mergeCell ref="K24:L24"/>
    <mergeCell ref="M24:N24"/>
    <mergeCell ref="O24:P24"/>
    <mergeCell ref="Q24:R24"/>
    <mergeCell ref="G25:H25"/>
    <mergeCell ref="I25:J25"/>
    <mergeCell ref="K25:L25"/>
    <mergeCell ref="M25:N25"/>
    <mergeCell ref="O25:P25"/>
    <mergeCell ref="Q25:R25"/>
    <mergeCell ref="G26:H26"/>
    <mergeCell ref="I26:J26"/>
    <mergeCell ref="K26:L26"/>
    <mergeCell ref="M27:N27"/>
    <mergeCell ref="O27:P27"/>
    <mergeCell ref="Q27:R27"/>
    <mergeCell ref="G30:H30"/>
    <mergeCell ref="I30:J30"/>
    <mergeCell ref="K30:L30"/>
    <mergeCell ref="B20:B23"/>
    <mergeCell ref="G20:H20"/>
    <mergeCell ref="G21:H21"/>
    <mergeCell ref="G22:H22"/>
    <mergeCell ref="I20:J20"/>
    <mergeCell ref="I21:J21"/>
    <mergeCell ref="I22:J22"/>
    <mergeCell ref="I23:J23"/>
    <mergeCell ref="G23:H23"/>
    <mergeCell ref="D20:D23"/>
    <mergeCell ref="E20:E23"/>
    <mergeCell ref="F20:F23"/>
    <mergeCell ref="B47:E47"/>
    <mergeCell ref="F47:J47"/>
    <mergeCell ref="K47:O47"/>
    <mergeCell ref="P47:U47"/>
    <mergeCell ref="B44:U44"/>
    <mergeCell ref="B45:E45"/>
    <mergeCell ref="F45:J45"/>
    <mergeCell ref="K45:O45"/>
    <mergeCell ref="P45:U45"/>
    <mergeCell ref="B46:E46"/>
    <mergeCell ref="F46:J46"/>
    <mergeCell ref="K46:O46"/>
    <mergeCell ref="P46:U46"/>
    <mergeCell ref="B43:C43"/>
    <mergeCell ref="G43:H43"/>
    <mergeCell ref="I43:J43"/>
    <mergeCell ref="K43:L43"/>
    <mergeCell ref="M43:N43"/>
    <mergeCell ref="O43:P43"/>
    <mergeCell ref="Q43:R43"/>
    <mergeCell ref="T43:U43"/>
    <mergeCell ref="G42:H42"/>
    <mergeCell ref="I42:J42"/>
    <mergeCell ref="K42:L42"/>
    <mergeCell ref="M42:N42"/>
    <mergeCell ref="O42:P42"/>
    <mergeCell ref="Q42:R42"/>
    <mergeCell ref="O41:P41"/>
    <mergeCell ref="Q41:R41"/>
    <mergeCell ref="T41:U41"/>
    <mergeCell ref="G40:H40"/>
    <mergeCell ref="I40:J40"/>
    <mergeCell ref="K40:L40"/>
    <mergeCell ref="M40:N40"/>
    <mergeCell ref="O40:P40"/>
    <mergeCell ref="Q40:R40"/>
    <mergeCell ref="T38:U38"/>
    <mergeCell ref="G39:H39"/>
    <mergeCell ref="I39:J39"/>
    <mergeCell ref="K39:L39"/>
    <mergeCell ref="M39:N39"/>
    <mergeCell ref="O39:P39"/>
    <mergeCell ref="Q39:R39"/>
    <mergeCell ref="T39:U39"/>
    <mergeCell ref="G38:H38"/>
    <mergeCell ref="I38:J38"/>
    <mergeCell ref="K38:L38"/>
    <mergeCell ref="M38:N38"/>
    <mergeCell ref="O38:P38"/>
    <mergeCell ref="Q38:R38"/>
    <mergeCell ref="K17:L17"/>
    <mergeCell ref="M17:N17"/>
    <mergeCell ref="O17:P17"/>
    <mergeCell ref="Q17:R17"/>
    <mergeCell ref="C14:J14"/>
    <mergeCell ref="K14:M14"/>
    <mergeCell ref="N14:U14"/>
    <mergeCell ref="T25:U25"/>
    <mergeCell ref="K21:L21"/>
    <mergeCell ref="K22:L22"/>
    <mergeCell ref="K23:L23"/>
    <mergeCell ref="M20:N20"/>
    <mergeCell ref="M21:N21"/>
    <mergeCell ref="M22:N22"/>
    <mergeCell ref="T24:U24"/>
    <mergeCell ref="T20:U20"/>
    <mergeCell ref="T21:U21"/>
    <mergeCell ref="T22:U22"/>
    <mergeCell ref="T23:U23"/>
    <mergeCell ref="Y18:AC18"/>
    <mergeCell ref="G19:H19"/>
    <mergeCell ref="I19:J19"/>
    <mergeCell ref="K19:L19"/>
    <mergeCell ref="M19:N19"/>
    <mergeCell ref="O19:P19"/>
    <mergeCell ref="Q19:R19"/>
    <mergeCell ref="T19:U19"/>
    <mergeCell ref="M23:N23"/>
    <mergeCell ref="K20:L20"/>
    <mergeCell ref="O20:P20"/>
    <mergeCell ref="O21:P21"/>
    <mergeCell ref="O22:P22"/>
    <mergeCell ref="O23:P23"/>
    <mergeCell ref="Q20:R20"/>
    <mergeCell ref="Q21:R21"/>
    <mergeCell ref="Q22:R22"/>
    <mergeCell ref="Q23:R23"/>
    <mergeCell ref="Y20:AC20"/>
    <mergeCell ref="W22:W23"/>
    <mergeCell ref="X22:AD23"/>
    <mergeCell ref="S1:T1"/>
    <mergeCell ref="S2:T2"/>
    <mergeCell ref="S3:T3"/>
    <mergeCell ref="B4:B9"/>
    <mergeCell ref="C4:U6"/>
    <mergeCell ref="C7:U8"/>
    <mergeCell ref="B16:B18"/>
    <mergeCell ref="C16:C18"/>
    <mergeCell ref="D16:D18"/>
    <mergeCell ref="E16:E18"/>
    <mergeCell ref="F16:F18"/>
    <mergeCell ref="G16:S16"/>
    <mergeCell ref="T16:U18"/>
    <mergeCell ref="S17:S18"/>
    <mergeCell ref="B10:U10"/>
    <mergeCell ref="B11:U11"/>
    <mergeCell ref="C12:J12"/>
    <mergeCell ref="K12:M12"/>
    <mergeCell ref="N12:U12"/>
    <mergeCell ref="C13:J13"/>
    <mergeCell ref="K13:M13"/>
    <mergeCell ref="N13:U13"/>
    <mergeCell ref="G17:H17"/>
    <mergeCell ref="I17:J17"/>
    <mergeCell ref="K28:L28"/>
    <mergeCell ref="M28:N28"/>
    <mergeCell ref="O28:P28"/>
    <mergeCell ref="Q28:R28"/>
    <mergeCell ref="T28:U28"/>
    <mergeCell ref="G29:H29"/>
    <mergeCell ref="I29:J29"/>
    <mergeCell ref="K29:L29"/>
    <mergeCell ref="M29:N29"/>
    <mergeCell ref="O29:P29"/>
    <mergeCell ref="Q29:R29"/>
    <mergeCell ref="T29:U29"/>
  </mergeCells>
  <phoneticPr fontId="22" type="noConversion"/>
  <pageMargins left="1.1811023622047245" right="0.19685039370078741" top="0.19685039370078741" bottom="0.19685039370078741" header="0.31496062992125984" footer="0.31496062992125984"/>
  <pageSetup paperSize="5" scale="83"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6A513-927C-4F37-B237-BC60B30EEA5B}">
  <dimension ref="B1:AD58"/>
  <sheetViews>
    <sheetView topLeftCell="A27" zoomScale="70" zoomScaleNormal="70" workbookViewId="0">
      <selection activeCell="M44" sqref="M44:N44"/>
    </sheetView>
  </sheetViews>
  <sheetFormatPr defaultRowHeight="12" x14ac:dyDescent="0.2"/>
  <cols>
    <col min="1" max="1" width="3.85546875" style="1" customWidth="1"/>
    <col min="2" max="2" width="23.5703125" style="1" customWidth="1"/>
    <col min="3" max="3" width="32" style="1" customWidth="1"/>
    <col min="4" max="4" width="10.5703125" style="1" customWidth="1"/>
    <col min="5" max="5" width="11.7109375" style="1" customWidth="1"/>
    <col min="6" max="6" width="8.140625" style="1" customWidth="1"/>
    <col min="7" max="7" width="7.42578125" style="1" customWidth="1"/>
    <col min="8" max="8" width="8.85546875" style="1" customWidth="1"/>
    <col min="9" max="9" width="9.140625" style="1"/>
    <col min="10" max="10" width="10" style="1" customWidth="1"/>
    <col min="11" max="11" width="6.85546875" style="1" customWidth="1"/>
    <col min="12" max="12" width="7.85546875" style="1" customWidth="1"/>
    <col min="13" max="13" width="8.140625" style="1" customWidth="1"/>
    <col min="14" max="14" width="6.140625" style="1" customWidth="1"/>
    <col min="15" max="15" width="7" style="1" customWidth="1"/>
    <col min="16" max="16" width="5.5703125" style="1" customWidth="1"/>
    <col min="17" max="17" width="7" style="1" customWidth="1"/>
    <col min="18" max="18" width="6" style="1" customWidth="1"/>
    <col min="19" max="19" width="7.140625" style="1" bestFit="1" customWidth="1"/>
    <col min="20" max="20" width="9.140625" style="1" customWidth="1"/>
    <col min="21" max="21" width="2.42578125" style="1" customWidth="1"/>
    <col min="22" max="22" width="11.42578125" style="1" customWidth="1"/>
    <col min="23" max="23" width="17.28515625" style="1" customWidth="1"/>
    <col min="24" max="28" width="9.140625" style="1"/>
    <col min="29" max="29" width="22.5703125" style="1" customWidth="1"/>
    <col min="30" max="30" width="21.5703125" style="1" customWidth="1"/>
    <col min="31" max="16384" width="9.140625" style="1"/>
  </cols>
  <sheetData>
    <row r="1" spans="2:21" ht="15" customHeight="1" x14ac:dyDescent="0.2">
      <c r="S1" s="86" t="s">
        <v>31</v>
      </c>
      <c r="T1" s="86"/>
    </row>
    <row r="2" spans="2:21" ht="15" customHeight="1" x14ac:dyDescent="0.2">
      <c r="S2" s="86" t="s">
        <v>32</v>
      </c>
      <c r="T2" s="86"/>
    </row>
    <row r="3" spans="2:21" ht="15.75" customHeight="1" thickBot="1" x14ac:dyDescent="0.25">
      <c r="S3" s="87" t="s">
        <v>36</v>
      </c>
      <c r="T3" s="87"/>
      <c r="U3" s="9"/>
    </row>
    <row r="4" spans="2:21" ht="23.25" customHeight="1" x14ac:dyDescent="0.2">
      <c r="B4" s="88"/>
      <c r="C4" s="91" t="s">
        <v>23</v>
      </c>
      <c r="D4" s="92"/>
      <c r="E4" s="92"/>
      <c r="F4" s="92"/>
      <c r="G4" s="92"/>
      <c r="H4" s="92"/>
      <c r="I4" s="92"/>
      <c r="J4" s="92"/>
      <c r="K4" s="92"/>
      <c r="L4" s="92"/>
      <c r="M4" s="92"/>
      <c r="N4" s="92"/>
      <c r="O4" s="92"/>
      <c r="P4" s="92"/>
      <c r="Q4" s="92"/>
      <c r="R4" s="92"/>
      <c r="S4" s="92"/>
      <c r="T4" s="92"/>
      <c r="U4" s="93"/>
    </row>
    <row r="5" spans="2:21" ht="15" customHeight="1" x14ac:dyDescent="0.2">
      <c r="B5" s="89"/>
      <c r="C5" s="94"/>
      <c r="D5" s="95"/>
      <c r="E5" s="95"/>
      <c r="F5" s="95"/>
      <c r="G5" s="95"/>
      <c r="H5" s="95"/>
      <c r="I5" s="95"/>
      <c r="J5" s="95"/>
      <c r="K5" s="95"/>
      <c r="L5" s="95"/>
      <c r="M5" s="95"/>
      <c r="N5" s="95"/>
      <c r="O5" s="95"/>
      <c r="P5" s="95"/>
      <c r="Q5" s="95"/>
      <c r="R5" s="95"/>
      <c r="S5" s="95"/>
      <c r="T5" s="95"/>
      <c r="U5" s="96"/>
    </row>
    <row r="6" spans="2:21" ht="15" customHeight="1" x14ac:dyDescent="0.2">
      <c r="B6" s="89"/>
      <c r="C6" s="94"/>
      <c r="D6" s="95"/>
      <c r="E6" s="95"/>
      <c r="F6" s="95"/>
      <c r="G6" s="95"/>
      <c r="H6" s="95"/>
      <c r="I6" s="95"/>
      <c r="J6" s="95"/>
      <c r="K6" s="95"/>
      <c r="L6" s="95"/>
      <c r="M6" s="95"/>
      <c r="N6" s="95"/>
      <c r="O6" s="95"/>
      <c r="P6" s="95"/>
      <c r="Q6" s="95"/>
      <c r="R6" s="95"/>
      <c r="S6" s="95"/>
      <c r="T6" s="95"/>
      <c r="U6" s="96"/>
    </row>
    <row r="7" spans="2:21" ht="15" customHeight="1" x14ac:dyDescent="0.2">
      <c r="B7" s="89"/>
      <c r="C7" s="97"/>
      <c r="D7" s="98"/>
      <c r="E7" s="98"/>
      <c r="F7" s="98"/>
      <c r="G7" s="98"/>
      <c r="H7" s="98"/>
      <c r="I7" s="98"/>
      <c r="J7" s="98"/>
      <c r="K7" s="98"/>
      <c r="L7" s="98"/>
      <c r="M7" s="98"/>
      <c r="N7" s="98"/>
      <c r="O7" s="98"/>
      <c r="P7" s="98"/>
      <c r="Q7" s="98"/>
      <c r="R7" s="98"/>
      <c r="S7" s="98"/>
      <c r="T7" s="98"/>
      <c r="U7" s="99"/>
    </row>
    <row r="8" spans="2:21" ht="11.25" customHeight="1" thickBot="1" x14ac:dyDescent="0.25">
      <c r="B8" s="89"/>
      <c r="C8" s="100"/>
      <c r="D8" s="101"/>
      <c r="E8" s="101"/>
      <c r="F8" s="101"/>
      <c r="G8" s="101"/>
      <c r="H8" s="101"/>
      <c r="I8" s="101"/>
      <c r="J8" s="101"/>
      <c r="K8" s="101"/>
      <c r="L8" s="101"/>
      <c r="M8" s="101"/>
      <c r="N8" s="101"/>
      <c r="O8" s="101"/>
      <c r="P8" s="101"/>
      <c r="Q8" s="101"/>
      <c r="R8" s="101"/>
      <c r="S8" s="101"/>
      <c r="T8" s="101"/>
      <c r="U8" s="102"/>
    </row>
    <row r="9" spans="2:21" ht="0.75" hidden="1" customHeight="1" x14ac:dyDescent="0.2">
      <c r="B9" s="90"/>
    </row>
    <row r="10" spans="2:21" s="2" customFormat="1" ht="18.75" customHeight="1" x14ac:dyDescent="0.25">
      <c r="B10" s="72" t="s">
        <v>92</v>
      </c>
      <c r="C10" s="73"/>
      <c r="D10" s="73"/>
      <c r="E10" s="73"/>
      <c r="F10" s="73"/>
      <c r="G10" s="73"/>
      <c r="H10" s="73"/>
      <c r="I10" s="73"/>
      <c r="J10" s="73"/>
      <c r="K10" s="73"/>
      <c r="L10" s="73"/>
      <c r="M10" s="73"/>
      <c r="N10" s="73"/>
      <c r="O10" s="73"/>
      <c r="P10" s="73"/>
      <c r="Q10" s="73"/>
      <c r="R10" s="73"/>
      <c r="S10" s="73"/>
      <c r="T10" s="73"/>
      <c r="U10" s="74"/>
    </row>
    <row r="11" spans="2:21" s="2" customFormat="1" ht="21.75" customHeight="1" thickBot="1" x14ac:dyDescent="0.3">
      <c r="B11" s="75" t="s">
        <v>44</v>
      </c>
      <c r="C11" s="76"/>
      <c r="D11" s="76"/>
      <c r="E11" s="76"/>
      <c r="F11" s="76"/>
      <c r="G11" s="76"/>
      <c r="H11" s="76"/>
      <c r="I11" s="76"/>
      <c r="J11" s="76"/>
      <c r="K11" s="76"/>
      <c r="L11" s="76"/>
      <c r="M11" s="76"/>
      <c r="N11" s="76"/>
      <c r="O11" s="76"/>
      <c r="P11" s="76"/>
      <c r="Q11" s="76"/>
      <c r="R11" s="76"/>
      <c r="S11" s="76"/>
      <c r="T11" s="76"/>
      <c r="U11" s="77"/>
    </row>
    <row r="12" spans="2:21" s="2" customFormat="1" ht="15.95" customHeight="1" x14ac:dyDescent="0.25">
      <c r="B12" s="3" t="s">
        <v>15</v>
      </c>
      <c r="C12" s="78" t="s">
        <v>22</v>
      </c>
      <c r="D12" s="78"/>
      <c r="E12" s="78"/>
      <c r="F12" s="78"/>
      <c r="G12" s="78"/>
      <c r="H12" s="78"/>
      <c r="I12" s="78"/>
      <c r="J12" s="78"/>
      <c r="K12" s="79" t="s">
        <v>18</v>
      </c>
      <c r="L12" s="79"/>
      <c r="M12" s="79"/>
      <c r="N12" s="78" t="s">
        <v>21</v>
      </c>
      <c r="O12" s="78"/>
      <c r="P12" s="78"/>
      <c r="Q12" s="78"/>
      <c r="R12" s="78"/>
      <c r="S12" s="78"/>
      <c r="T12" s="80"/>
      <c r="U12" s="81"/>
    </row>
    <row r="13" spans="2:21" s="2" customFormat="1" ht="15.95" customHeight="1" x14ac:dyDescent="0.25">
      <c r="B13" s="4" t="s">
        <v>16</v>
      </c>
      <c r="C13" s="82" t="s">
        <v>61</v>
      </c>
      <c r="D13" s="82"/>
      <c r="E13" s="82"/>
      <c r="F13" s="82"/>
      <c r="G13" s="82"/>
      <c r="H13" s="82"/>
      <c r="I13" s="82"/>
      <c r="J13" s="82"/>
      <c r="K13" s="83" t="s">
        <v>19</v>
      </c>
      <c r="L13" s="83"/>
      <c r="M13" s="83"/>
      <c r="N13" s="82" t="s">
        <v>58</v>
      </c>
      <c r="O13" s="82"/>
      <c r="P13" s="82"/>
      <c r="Q13" s="82"/>
      <c r="R13" s="82"/>
      <c r="S13" s="82"/>
      <c r="T13" s="84"/>
      <c r="U13" s="85"/>
    </row>
    <row r="14" spans="2:21" s="2" customFormat="1" ht="15.95" customHeight="1" thickBot="1" x14ac:dyDescent="0.3">
      <c r="B14" s="5" t="s">
        <v>17</v>
      </c>
      <c r="C14" s="103" t="s">
        <v>43</v>
      </c>
      <c r="D14" s="103"/>
      <c r="E14" s="103"/>
      <c r="F14" s="103"/>
      <c r="G14" s="103"/>
      <c r="H14" s="103"/>
      <c r="I14" s="103"/>
      <c r="J14" s="103"/>
      <c r="K14" s="104" t="s">
        <v>20</v>
      </c>
      <c r="L14" s="104"/>
      <c r="M14" s="104"/>
      <c r="N14" s="170"/>
      <c r="O14" s="170"/>
      <c r="P14" s="170"/>
      <c r="Q14" s="170"/>
      <c r="R14" s="170"/>
      <c r="S14" s="170"/>
      <c r="T14" s="171"/>
      <c r="U14" s="172"/>
    </row>
    <row r="15" spans="2:21" ht="3.75" customHeight="1" thickBot="1" x14ac:dyDescent="0.25">
      <c r="B15" s="18"/>
      <c r="C15" s="19"/>
      <c r="D15" s="19"/>
      <c r="E15" s="19"/>
      <c r="F15" s="19"/>
      <c r="G15" s="19"/>
      <c r="H15" s="19"/>
      <c r="I15" s="19"/>
      <c r="J15" s="19"/>
      <c r="K15" s="19"/>
      <c r="L15" s="19"/>
      <c r="M15" s="19"/>
      <c r="N15" s="19"/>
      <c r="O15" s="19"/>
      <c r="P15" s="19"/>
      <c r="Q15" s="19"/>
      <c r="R15" s="19"/>
      <c r="S15" s="19"/>
      <c r="T15" s="19"/>
      <c r="U15" s="20"/>
    </row>
    <row r="16" spans="2:21" ht="21.75" customHeight="1" x14ac:dyDescent="0.2">
      <c r="B16" s="107" t="s">
        <v>0</v>
      </c>
      <c r="C16" s="110" t="s">
        <v>1</v>
      </c>
      <c r="D16" s="110" t="s">
        <v>2</v>
      </c>
      <c r="E16" s="110" t="s">
        <v>3</v>
      </c>
      <c r="F16" s="110" t="s">
        <v>4</v>
      </c>
      <c r="G16" s="113" t="s">
        <v>5</v>
      </c>
      <c r="H16" s="114"/>
      <c r="I16" s="114"/>
      <c r="J16" s="114"/>
      <c r="K16" s="114"/>
      <c r="L16" s="114"/>
      <c r="M16" s="114"/>
      <c r="N16" s="114"/>
      <c r="O16" s="114"/>
      <c r="P16" s="114"/>
      <c r="Q16" s="114"/>
      <c r="R16" s="114"/>
      <c r="S16" s="114"/>
      <c r="T16" s="115" t="s">
        <v>13</v>
      </c>
      <c r="U16" s="116"/>
    </row>
    <row r="17" spans="2:30" ht="35.25" customHeight="1" x14ac:dyDescent="0.2">
      <c r="B17" s="108"/>
      <c r="C17" s="111"/>
      <c r="D17" s="111"/>
      <c r="E17" s="111"/>
      <c r="F17" s="111"/>
      <c r="G17" s="111" t="s">
        <v>6</v>
      </c>
      <c r="H17" s="111"/>
      <c r="I17" s="111" t="s">
        <v>7</v>
      </c>
      <c r="J17" s="111"/>
      <c r="K17" s="111" t="s">
        <v>8</v>
      </c>
      <c r="L17" s="111"/>
      <c r="M17" s="111" t="s">
        <v>9</v>
      </c>
      <c r="N17" s="111"/>
      <c r="O17" s="111" t="s">
        <v>10</v>
      </c>
      <c r="P17" s="111"/>
      <c r="Q17" s="111" t="s">
        <v>11</v>
      </c>
      <c r="R17" s="127"/>
      <c r="S17" s="111" t="s">
        <v>12</v>
      </c>
      <c r="T17" s="117"/>
      <c r="U17" s="118"/>
    </row>
    <row r="18" spans="2:30" ht="20.25" thickBot="1" x14ac:dyDescent="0.35">
      <c r="B18" s="109"/>
      <c r="C18" s="112"/>
      <c r="D18" s="112"/>
      <c r="E18" s="112"/>
      <c r="F18" s="112"/>
      <c r="G18" s="26">
        <f>(G49/S49)*100</f>
        <v>50</v>
      </c>
      <c r="H18" s="27" t="s">
        <v>14</v>
      </c>
      <c r="I18" s="26">
        <f>(I49/S49)*100</f>
        <v>42.307692307692307</v>
      </c>
      <c r="J18" s="27" t="s">
        <v>14</v>
      </c>
      <c r="K18" s="26">
        <f>(K49/S49)*100</f>
        <v>1.9230769230769231</v>
      </c>
      <c r="L18" s="27" t="s">
        <v>14</v>
      </c>
      <c r="M18" s="26">
        <f>(M49/S49)*100</f>
        <v>5.7692307692307692</v>
      </c>
      <c r="N18" s="27" t="s">
        <v>14</v>
      </c>
      <c r="O18" s="26">
        <f>(O49/S49)*100</f>
        <v>0</v>
      </c>
      <c r="P18" s="27" t="s">
        <v>14</v>
      </c>
      <c r="Q18" s="26">
        <f>(Q49/S49)*100</f>
        <v>0</v>
      </c>
      <c r="R18" s="27" t="s">
        <v>14</v>
      </c>
      <c r="S18" s="112"/>
      <c r="T18" s="119"/>
      <c r="U18" s="120"/>
      <c r="W18" s="23">
        <f>G18+I18+K18+M18+O18+Q18</f>
        <v>100</v>
      </c>
      <c r="Y18" s="121" t="s">
        <v>39</v>
      </c>
      <c r="Z18" s="121"/>
      <c r="AA18" s="121"/>
      <c r="AB18" s="121"/>
      <c r="AC18" s="121"/>
    </row>
    <row r="19" spans="2:30" ht="58.5" customHeight="1" thickBot="1" x14ac:dyDescent="0.25">
      <c r="B19" s="28" t="s">
        <v>93</v>
      </c>
      <c r="C19" s="39" t="s">
        <v>94</v>
      </c>
      <c r="D19" s="29">
        <v>1</v>
      </c>
      <c r="E19" s="30">
        <f>(D19/D49)*100</f>
        <v>3.8461538461538463</v>
      </c>
      <c r="F19" s="30">
        <f>(S49/D49)*D19</f>
        <v>2</v>
      </c>
      <c r="G19" s="157">
        <v>2</v>
      </c>
      <c r="H19" s="157"/>
      <c r="I19" s="157"/>
      <c r="J19" s="157"/>
      <c r="K19" s="157"/>
      <c r="L19" s="157"/>
      <c r="M19" s="157"/>
      <c r="N19" s="157"/>
      <c r="O19" s="157"/>
      <c r="P19" s="157"/>
      <c r="Q19" s="157"/>
      <c r="R19" s="157"/>
      <c r="S19" s="51">
        <f>SUM(G19:Q19)</f>
        <v>2</v>
      </c>
      <c r="T19" s="220" t="s">
        <v>62</v>
      </c>
      <c r="U19" s="159"/>
      <c r="X19" s="15" t="s">
        <v>33</v>
      </c>
      <c r="Y19" s="25" t="s">
        <v>37</v>
      </c>
      <c r="Z19" s="21"/>
      <c r="AA19" s="24">
        <v>50</v>
      </c>
    </row>
    <row r="20" spans="2:30" ht="33" customHeight="1" x14ac:dyDescent="0.2">
      <c r="B20" s="189" t="s">
        <v>95</v>
      </c>
      <c r="C20" s="45" t="s">
        <v>96</v>
      </c>
      <c r="D20" s="184">
        <v>5</v>
      </c>
      <c r="E20" s="186">
        <f>(D20/D49)*100</f>
        <v>19.230769230769234</v>
      </c>
      <c r="F20" s="221">
        <f>(S49/D49)*D20</f>
        <v>10</v>
      </c>
      <c r="G20" s="160">
        <v>3</v>
      </c>
      <c r="H20" s="160"/>
      <c r="I20" s="160"/>
      <c r="J20" s="160"/>
      <c r="K20" s="160"/>
      <c r="L20" s="160"/>
      <c r="M20" s="160"/>
      <c r="N20" s="160"/>
      <c r="O20" s="160"/>
      <c r="P20" s="160"/>
      <c r="Q20" s="160"/>
      <c r="R20" s="160"/>
      <c r="S20" s="35">
        <f>SUM(G20:R20)</f>
        <v>3</v>
      </c>
      <c r="T20" s="131" t="s">
        <v>78</v>
      </c>
      <c r="U20" s="131"/>
      <c r="X20" s="15"/>
      <c r="Y20" s="130" t="s">
        <v>38</v>
      </c>
      <c r="Z20" s="130"/>
      <c r="AA20" s="130"/>
      <c r="AB20" s="130"/>
      <c r="AC20" s="130"/>
    </row>
    <row r="21" spans="2:30" ht="51" customHeight="1" thickBot="1" x14ac:dyDescent="0.25">
      <c r="B21" s="190"/>
      <c r="C21" s="46" t="s">
        <v>97</v>
      </c>
      <c r="D21" s="185"/>
      <c r="E21" s="187"/>
      <c r="F21" s="222"/>
      <c r="G21" s="160"/>
      <c r="H21" s="160"/>
      <c r="I21" s="160">
        <v>2</v>
      </c>
      <c r="J21" s="160"/>
      <c r="K21" s="160"/>
      <c r="L21" s="160"/>
      <c r="M21" s="160"/>
      <c r="N21" s="160"/>
      <c r="O21" s="160"/>
      <c r="P21" s="160"/>
      <c r="Q21" s="160"/>
      <c r="R21" s="160"/>
      <c r="S21" s="35">
        <f t="shared" ref="S21:S28" si="0">SUM(G21:R21)</f>
        <v>2</v>
      </c>
      <c r="T21" s="131">
        <v>15</v>
      </c>
      <c r="U21" s="131"/>
      <c r="X21" s="15"/>
      <c r="Y21" s="25"/>
      <c r="Z21" s="21"/>
      <c r="AA21" s="24"/>
    </row>
    <row r="22" spans="2:30" ht="53.25" customHeight="1" x14ac:dyDescent="0.2">
      <c r="B22" s="190"/>
      <c r="C22" s="46" t="s">
        <v>98</v>
      </c>
      <c r="D22" s="185"/>
      <c r="E22" s="187"/>
      <c r="F22" s="222"/>
      <c r="G22" s="160">
        <v>2</v>
      </c>
      <c r="H22" s="160"/>
      <c r="I22" s="160"/>
      <c r="J22" s="160"/>
      <c r="K22" s="160"/>
      <c r="L22" s="160"/>
      <c r="M22" s="160"/>
      <c r="N22" s="160"/>
      <c r="O22" s="160"/>
      <c r="P22" s="160"/>
      <c r="Q22" s="160"/>
      <c r="R22" s="160"/>
      <c r="S22" s="35">
        <f t="shared" si="0"/>
        <v>2</v>
      </c>
      <c r="T22" s="176" t="s">
        <v>79</v>
      </c>
      <c r="U22" s="131"/>
      <c r="W22" s="161" t="s">
        <v>65</v>
      </c>
      <c r="X22" s="163" t="s">
        <v>75</v>
      </c>
      <c r="Y22" s="164"/>
      <c r="Z22" s="164"/>
      <c r="AA22" s="164"/>
      <c r="AB22" s="164"/>
      <c r="AC22" s="164"/>
      <c r="AD22" s="165"/>
    </row>
    <row r="23" spans="2:30" ht="53.25" customHeight="1" x14ac:dyDescent="0.2">
      <c r="B23" s="190"/>
      <c r="C23" s="46" t="s">
        <v>99</v>
      </c>
      <c r="D23" s="185"/>
      <c r="E23" s="187"/>
      <c r="F23" s="222"/>
      <c r="G23" s="154"/>
      <c r="H23" s="155"/>
      <c r="I23" s="154">
        <v>2</v>
      </c>
      <c r="J23" s="155"/>
      <c r="K23" s="154"/>
      <c r="L23" s="155"/>
      <c r="M23" s="154"/>
      <c r="N23" s="155"/>
      <c r="O23" s="154"/>
      <c r="P23" s="155"/>
      <c r="Q23" s="154"/>
      <c r="R23" s="155"/>
      <c r="S23" s="35">
        <f t="shared" si="0"/>
        <v>2</v>
      </c>
      <c r="T23" s="176" t="s">
        <v>125</v>
      </c>
      <c r="U23" s="131"/>
      <c r="W23" s="223"/>
      <c r="X23" s="224"/>
      <c r="Y23" s="225"/>
      <c r="Z23" s="225"/>
      <c r="AA23" s="225"/>
      <c r="AB23" s="225"/>
      <c r="AC23" s="225"/>
      <c r="AD23" s="226"/>
    </row>
    <row r="24" spans="2:30" ht="40.5" customHeight="1" thickBot="1" x14ac:dyDescent="0.25">
      <c r="B24" s="190"/>
      <c r="C24" s="47" t="s">
        <v>100</v>
      </c>
      <c r="D24" s="185"/>
      <c r="E24" s="187"/>
      <c r="F24" s="222"/>
      <c r="G24" s="160"/>
      <c r="H24" s="160"/>
      <c r="I24" s="160"/>
      <c r="J24" s="160"/>
      <c r="K24" s="160"/>
      <c r="L24" s="160"/>
      <c r="M24" s="160">
        <v>1</v>
      </c>
      <c r="N24" s="160"/>
      <c r="O24" s="160"/>
      <c r="P24" s="160"/>
      <c r="Q24" s="160"/>
      <c r="R24" s="160"/>
      <c r="S24" s="35">
        <f t="shared" si="0"/>
        <v>1</v>
      </c>
      <c r="T24" s="131">
        <v>3</v>
      </c>
      <c r="U24" s="131"/>
      <c r="W24" s="162"/>
      <c r="X24" s="166"/>
      <c r="Y24" s="167"/>
      <c r="Z24" s="167"/>
      <c r="AA24" s="167"/>
      <c r="AB24" s="167"/>
      <c r="AC24" s="167"/>
      <c r="AD24" s="168"/>
    </row>
    <row r="25" spans="2:30" ht="35.25" customHeight="1" thickBot="1" x14ac:dyDescent="0.25">
      <c r="B25" s="189" t="s">
        <v>101</v>
      </c>
      <c r="C25" s="48" t="s">
        <v>102</v>
      </c>
      <c r="D25" s="184">
        <v>5</v>
      </c>
      <c r="E25" s="188">
        <f>(D25/D49)*100</f>
        <v>19.230769230769234</v>
      </c>
      <c r="F25" s="221">
        <f>(S49/D49)*D25</f>
        <v>10</v>
      </c>
      <c r="G25" s="160">
        <v>2</v>
      </c>
      <c r="H25" s="160"/>
      <c r="I25" s="228"/>
      <c r="J25" s="228"/>
      <c r="K25" s="131"/>
      <c r="L25" s="131"/>
      <c r="M25" s="131"/>
      <c r="N25" s="131"/>
      <c r="O25" s="131"/>
      <c r="P25" s="131"/>
      <c r="Q25" s="131"/>
      <c r="R25" s="131"/>
      <c r="S25" s="35">
        <f t="shared" si="0"/>
        <v>2</v>
      </c>
      <c r="T25" s="128" t="s">
        <v>80</v>
      </c>
      <c r="U25" s="128"/>
      <c r="W25" s="66"/>
      <c r="X25" s="199"/>
      <c r="Y25" s="200"/>
      <c r="Z25" s="200"/>
      <c r="AA25" s="200"/>
      <c r="AB25" s="200"/>
      <c r="AC25" s="200"/>
      <c r="AD25" s="201"/>
    </row>
    <row r="26" spans="2:30" ht="48.75" customHeight="1" thickBot="1" x14ac:dyDescent="0.25">
      <c r="B26" s="190"/>
      <c r="C26" s="47" t="s">
        <v>103</v>
      </c>
      <c r="D26" s="185"/>
      <c r="E26" s="187"/>
      <c r="F26" s="222"/>
      <c r="G26" s="131"/>
      <c r="H26" s="131"/>
      <c r="I26" s="160">
        <v>1</v>
      </c>
      <c r="J26" s="160"/>
      <c r="K26" s="131"/>
      <c r="L26" s="131"/>
      <c r="M26" s="228"/>
      <c r="N26" s="228"/>
      <c r="O26" s="131"/>
      <c r="P26" s="131"/>
      <c r="Q26" s="131"/>
      <c r="R26" s="131"/>
      <c r="S26" s="35">
        <f t="shared" si="0"/>
        <v>1</v>
      </c>
      <c r="T26" s="128" t="s">
        <v>83</v>
      </c>
      <c r="U26" s="128"/>
      <c r="W26" s="59" t="s">
        <v>68</v>
      </c>
      <c r="X26" s="202" t="s">
        <v>69</v>
      </c>
      <c r="Y26" s="202"/>
      <c r="Z26" s="202"/>
      <c r="AA26" s="202"/>
      <c r="AB26" s="202"/>
      <c r="AC26" s="202"/>
      <c r="AD26" s="203"/>
    </row>
    <row r="27" spans="2:30" ht="51" customHeight="1" thickBot="1" x14ac:dyDescent="0.3">
      <c r="B27" s="190"/>
      <c r="C27" s="47" t="s">
        <v>104</v>
      </c>
      <c r="D27" s="185"/>
      <c r="E27" s="187"/>
      <c r="F27" s="222"/>
      <c r="G27" s="131"/>
      <c r="H27" s="131"/>
      <c r="I27" s="160">
        <v>3</v>
      </c>
      <c r="J27" s="160"/>
      <c r="K27" s="131"/>
      <c r="L27" s="131"/>
      <c r="M27" s="228"/>
      <c r="N27" s="228"/>
      <c r="O27" s="131"/>
      <c r="P27" s="131"/>
      <c r="Q27" s="131"/>
      <c r="R27" s="131"/>
      <c r="S27" s="35">
        <f t="shared" si="0"/>
        <v>3</v>
      </c>
      <c r="T27" s="128" t="s">
        <v>82</v>
      </c>
      <c r="U27" s="128"/>
      <c r="W27" s="61" t="s">
        <v>70</v>
      </c>
      <c r="X27" s="204" t="s">
        <v>74</v>
      </c>
      <c r="Y27" s="205"/>
      <c r="Z27" s="205"/>
      <c r="AA27" s="205"/>
      <c r="AB27" s="205"/>
      <c r="AC27" s="205"/>
      <c r="AD27" s="206"/>
    </row>
    <row r="28" spans="2:30" ht="50.25" customHeight="1" thickBot="1" x14ac:dyDescent="0.25">
      <c r="B28" s="190"/>
      <c r="C28" s="47" t="s">
        <v>105</v>
      </c>
      <c r="D28" s="185"/>
      <c r="E28" s="187"/>
      <c r="F28" s="222"/>
      <c r="G28" s="131">
        <v>3</v>
      </c>
      <c r="H28" s="131"/>
      <c r="I28" s="228"/>
      <c r="J28" s="228"/>
      <c r="K28" s="131"/>
      <c r="L28" s="131"/>
      <c r="M28" s="131"/>
      <c r="N28" s="131"/>
      <c r="O28" s="131"/>
      <c r="P28" s="131"/>
      <c r="Q28" s="131"/>
      <c r="R28" s="131"/>
      <c r="S28" s="35">
        <f t="shared" si="0"/>
        <v>3</v>
      </c>
      <c r="T28" s="128" t="s">
        <v>81</v>
      </c>
      <c r="U28" s="128"/>
      <c r="W28" s="62" t="s">
        <v>71</v>
      </c>
      <c r="X28" s="204" t="s">
        <v>76</v>
      </c>
      <c r="Y28" s="205"/>
      <c r="Z28" s="205"/>
      <c r="AA28" s="205"/>
      <c r="AB28" s="205"/>
      <c r="AC28" s="205"/>
      <c r="AD28" s="206"/>
    </row>
    <row r="29" spans="2:30" ht="44.25" customHeight="1" thickBot="1" x14ac:dyDescent="0.25">
      <c r="B29" s="191"/>
      <c r="C29" s="47" t="s">
        <v>106</v>
      </c>
      <c r="D29" s="179"/>
      <c r="E29" s="192"/>
      <c r="F29" s="227"/>
      <c r="G29" s="131"/>
      <c r="H29" s="131"/>
      <c r="I29" s="131">
        <v>1</v>
      </c>
      <c r="J29" s="131"/>
      <c r="K29" s="131"/>
      <c r="L29" s="131"/>
      <c r="M29" s="131"/>
      <c r="N29" s="131"/>
      <c r="O29" s="131"/>
      <c r="P29" s="131"/>
      <c r="Q29" s="131"/>
      <c r="R29" s="131"/>
      <c r="S29" s="35">
        <f t="shared" ref="S29:S48" si="1">SUM(G29:Q29)</f>
        <v>1</v>
      </c>
      <c r="T29" s="128">
        <v>19</v>
      </c>
      <c r="U29" s="128"/>
      <c r="W29" s="62" t="s">
        <v>72</v>
      </c>
      <c r="X29" s="204" t="s">
        <v>73</v>
      </c>
      <c r="Y29" s="205"/>
      <c r="Z29" s="205"/>
      <c r="AA29" s="205"/>
      <c r="AB29" s="205"/>
      <c r="AC29" s="205"/>
      <c r="AD29" s="206"/>
    </row>
    <row r="30" spans="2:30" ht="69.75" customHeight="1" x14ac:dyDescent="0.2">
      <c r="B30" s="189" t="s">
        <v>107</v>
      </c>
      <c r="C30" s="48" t="s">
        <v>108</v>
      </c>
      <c r="D30" s="184">
        <v>5</v>
      </c>
      <c r="E30" s="188">
        <f>(D30/D49)*100</f>
        <v>19.230769230769234</v>
      </c>
      <c r="F30" s="221">
        <f>(S49/D49)*D30</f>
        <v>10</v>
      </c>
      <c r="G30" s="228"/>
      <c r="H30" s="228"/>
      <c r="I30" s="160">
        <v>3</v>
      </c>
      <c r="J30" s="160"/>
      <c r="K30" s="228"/>
      <c r="L30" s="228"/>
      <c r="M30" s="228"/>
      <c r="N30" s="228"/>
      <c r="O30" s="131"/>
      <c r="P30" s="131"/>
      <c r="Q30" s="131"/>
      <c r="R30" s="131"/>
      <c r="S30" s="35">
        <f t="shared" si="1"/>
        <v>3</v>
      </c>
      <c r="T30" s="128" t="s">
        <v>86</v>
      </c>
      <c r="U30" s="128"/>
      <c r="X30" s="16"/>
      <c r="Y30" s="54"/>
      <c r="Z30" s="54"/>
      <c r="AA30" s="54"/>
      <c r="AB30" s="54"/>
      <c r="AC30" s="54"/>
    </row>
    <row r="31" spans="2:30" ht="48.75" customHeight="1" thickBot="1" x14ac:dyDescent="0.25">
      <c r="B31" s="190"/>
      <c r="C31" s="47" t="s">
        <v>109</v>
      </c>
      <c r="D31" s="185"/>
      <c r="E31" s="187"/>
      <c r="F31" s="222"/>
      <c r="G31" s="160">
        <v>2</v>
      </c>
      <c r="H31" s="160"/>
      <c r="I31" s="228"/>
      <c r="J31" s="228"/>
      <c r="K31" s="228"/>
      <c r="L31" s="228"/>
      <c r="M31" s="228"/>
      <c r="N31" s="228"/>
      <c r="O31" s="131"/>
      <c r="P31" s="131"/>
      <c r="Q31" s="131"/>
      <c r="R31" s="131"/>
      <c r="S31" s="35">
        <f t="shared" si="1"/>
        <v>2</v>
      </c>
      <c r="T31" s="128" t="s">
        <v>84</v>
      </c>
      <c r="U31" s="128"/>
      <c r="W31" s="58"/>
      <c r="X31" s="60"/>
      <c r="Y31" s="54"/>
      <c r="Z31" s="54"/>
      <c r="AA31" s="54"/>
      <c r="AB31" s="54"/>
      <c r="AC31" s="54"/>
    </row>
    <row r="32" spans="2:30" ht="63" customHeight="1" x14ac:dyDescent="0.2">
      <c r="B32" s="190"/>
      <c r="C32" s="47" t="s">
        <v>110</v>
      </c>
      <c r="D32" s="185"/>
      <c r="E32" s="187"/>
      <c r="F32" s="222"/>
      <c r="G32" s="160"/>
      <c r="H32" s="160"/>
      <c r="I32" s="160">
        <v>2</v>
      </c>
      <c r="J32" s="160"/>
      <c r="K32" s="228"/>
      <c r="L32" s="228"/>
      <c r="M32" s="228"/>
      <c r="N32" s="228"/>
      <c r="O32" s="131"/>
      <c r="P32" s="131"/>
      <c r="Q32" s="131"/>
      <c r="R32" s="131"/>
      <c r="S32" s="35">
        <f t="shared" si="1"/>
        <v>2</v>
      </c>
      <c r="T32" s="128">
        <v>2</v>
      </c>
      <c r="U32" s="128"/>
      <c r="W32" s="161" t="s">
        <v>65</v>
      </c>
      <c r="X32" s="163" t="s">
        <v>75</v>
      </c>
      <c r="Y32" s="164"/>
      <c r="Z32" s="164"/>
      <c r="AA32" s="164"/>
      <c r="AB32" s="164"/>
      <c r="AC32" s="164"/>
      <c r="AD32" s="165"/>
    </row>
    <row r="33" spans="2:30" ht="78.75" customHeight="1" thickBot="1" x14ac:dyDescent="0.25">
      <c r="B33" s="190"/>
      <c r="C33" s="47" t="s">
        <v>111</v>
      </c>
      <c r="D33" s="185"/>
      <c r="E33" s="187"/>
      <c r="F33" s="222"/>
      <c r="G33" s="160"/>
      <c r="H33" s="160"/>
      <c r="I33" s="228"/>
      <c r="J33" s="228"/>
      <c r="K33" s="160">
        <v>1</v>
      </c>
      <c r="L33" s="160"/>
      <c r="M33" s="228"/>
      <c r="N33" s="228"/>
      <c r="O33" s="131"/>
      <c r="P33" s="131"/>
      <c r="Q33" s="131"/>
      <c r="R33" s="131"/>
      <c r="S33" s="35">
        <f t="shared" si="1"/>
        <v>1</v>
      </c>
      <c r="T33" s="128">
        <v>14</v>
      </c>
      <c r="U33" s="128"/>
      <c r="W33" s="162"/>
      <c r="X33" s="166"/>
      <c r="Y33" s="167"/>
      <c r="Z33" s="167"/>
      <c r="AA33" s="167"/>
      <c r="AB33" s="167"/>
      <c r="AC33" s="167"/>
      <c r="AD33" s="168"/>
    </row>
    <row r="34" spans="2:30" ht="69" customHeight="1" x14ac:dyDescent="0.2">
      <c r="B34" s="191"/>
      <c r="C34" s="43" t="s">
        <v>112</v>
      </c>
      <c r="D34" s="179"/>
      <c r="E34" s="192"/>
      <c r="F34" s="227"/>
      <c r="G34" s="160">
        <v>2</v>
      </c>
      <c r="H34" s="160"/>
      <c r="I34" s="228"/>
      <c r="J34" s="228"/>
      <c r="K34" s="228"/>
      <c r="L34" s="228"/>
      <c r="M34" s="228"/>
      <c r="N34" s="228"/>
      <c r="O34" s="131"/>
      <c r="P34" s="131"/>
      <c r="Q34" s="131"/>
      <c r="R34" s="131"/>
      <c r="S34" s="35">
        <f t="shared" si="1"/>
        <v>2</v>
      </c>
      <c r="T34" s="128" t="s">
        <v>85</v>
      </c>
      <c r="U34" s="128"/>
      <c r="W34" s="232" t="s">
        <v>66</v>
      </c>
      <c r="X34" s="229" t="s">
        <v>67</v>
      </c>
      <c r="Y34" s="230"/>
      <c r="Z34" s="230"/>
      <c r="AA34" s="230"/>
      <c r="AB34" s="230"/>
      <c r="AC34" s="230"/>
      <c r="AD34" s="231"/>
    </row>
    <row r="35" spans="2:30" ht="48" x14ac:dyDescent="0.2">
      <c r="B35" s="189" t="s">
        <v>113</v>
      </c>
      <c r="C35" s="48" t="s">
        <v>114</v>
      </c>
      <c r="D35" s="197">
        <v>5</v>
      </c>
      <c r="E35" s="188">
        <f>(D35/D49)*100</f>
        <v>19.230769230769234</v>
      </c>
      <c r="F35" s="221">
        <f>(S49/D49)*D35</f>
        <v>10</v>
      </c>
      <c r="G35" s="160">
        <v>3</v>
      </c>
      <c r="H35" s="160"/>
      <c r="I35" s="160"/>
      <c r="J35" s="160"/>
      <c r="K35" s="160"/>
      <c r="L35" s="160"/>
      <c r="M35" s="160"/>
      <c r="N35" s="160"/>
      <c r="O35" s="160"/>
      <c r="P35" s="160"/>
      <c r="Q35" s="160"/>
      <c r="R35" s="160"/>
      <c r="S35" s="35">
        <f t="shared" si="1"/>
        <v>3</v>
      </c>
      <c r="T35" s="128">
        <v>34</v>
      </c>
      <c r="U35" s="128"/>
      <c r="W35" s="207"/>
      <c r="X35" s="209"/>
      <c r="Y35" s="210"/>
      <c r="Z35" s="210"/>
      <c r="AA35" s="210"/>
      <c r="AB35" s="210"/>
      <c r="AC35" s="210"/>
      <c r="AD35" s="211"/>
    </row>
    <row r="36" spans="2:30" ht="48.75" thickBot="1" x14ac:dyDescent="0.25">
      <c r="B36" s="190"/>
      <c r="C36" s="47" t="s">
        <v>115</v>
      </c>
      <c r="D36" s="198"/>
      <c r="E36" s="187"/>
      <c r="F36" s="222"/>
      <c r="G36" s="160"/>
      <c r="H36" s="160"/>
      <c r="I36" s="160">
        <v>2</v>
      </c>
      <c r="J36" s="160"/>
      <c r="K36" s="160"/>
      <c r="L36" s="160"/>
      <c r="M36" s="160"/>
      <c r="N36" s="160"/>
      <c r="O36" s="160"/>
      <c r="P36" s="160"/>
      <c r="Q36" s="160"/>
      <c r="R36" s="160"/>
      <c r="S36" s="35">
        <f t="shared" si="1"/>
        <v>2</v>
      </c>
      <c r="T36" s="128" t="s">
        <v>63</v>
      </c>
      <c r="U36" s="128"/>
      <c r="W36" s="208"/>
      <c r="X36" s="199"/>
      <c r="Y36" s="200"/>
      <c r="Z36" s="200"/>
      <c r="AA36" s="200"/>
      <c r="AB36" s="200"/>
      <c r="AC36" s="200"/>
      <c r="AD36" s="201"/>
    </row>
    <row r="37" spans="2:30" ht="48.75" thickBot="1" x14ac:dyDescent="0.25">
      <c r="B37" s="190"/>
      <c r="C37" s="47" t="s">
        <v>116</v>
      </c>
      <c r="D37" s="198"/>
      <c r="E37" s="187"/>
      <c r="F37" s="222"/>
      <c r="G37" s="160">
        <v>2</v>
      </c>
      <c r="H37" s="160"/>
      <c r="I37" s="160"/>
      <c r="J37" s="160"/>
      <c r="K37" s="160"/>
      <c r="L37" s="160"/>
      <c r="M37" s="160"/>
      <c r="N37" s="160"/>
      <c r="O37" s="160"/>
      <c r="P37" s="160"/>
      <c r="Q37" s="160"/>
      <c r="R37" s="160"/>
      <c r="S37" s="35">
        <f t="shared" si="1"/>
        <v>2</v>
      </c>
      <c r="T37" s="128">
        <v>38</v>
      </c>
      <c r="U37" s="128"/>
      <c r="W37" s="59" t="s">
        <v>68</v>
      </c>
      <c r="X37" s="202" t="s">
        <v>69</v>
      </c>
      <c r="Y37" s="202"/>
      <c r="Z37" s="202"/>
      <c r="AA37" s="202"/>
      <c r="AB37" s="202"/>
      <c r="AC37" s="202"/>
      <c r="AD37" s="203"/>
    </row>
    <row r="38" spans="2:30" ht="36.75" thickBot="1" x14ac:dyDescent="0.3">
      <c r="B38" s="190"/>
      <c r="C38" s="47" t="s">
        <v>117</v>
      </c>
      <c r="D38" s="198"/>
      <c r="E38" s="187"/>
      <c r="F38" s="222"/>
      <c r="G38" s="160"/>
      <c r="H38" s="160"/>
      <c r="I38" s="160"/>
      <c r="J38" s="160"/>
      <c r="K38" s="160"/>
      <c r="L38" s="160"/>
      <c r="M38" s="160">
        <v>2</v>
      </c>
      <c r="N38" s="160"/>
      <c r="O38" s="160"/>
      <c r="P38" s="160"/>
      <c r="Q38" s="160"/>
      <c r="R38" s="160"/>
      <c r="S38" s="35">
        <f t="shared" si="1"/>
        <v>2</v>
      </c>
      <c r="T38" s="128" t="s">
        <v>87</v>
      </c>
      <c r="U38" s="128"/>
      <c r="W38" s="61" t="s">
        <v>70</v>
      </c>
      <c r="X38" s="204" t="s">
        <v>74</v>
      </c>
      <c r="Y38" s="205"/>
      <c r="Z38" s="205"/>
      <c r="AA38" s="205"/>
      <c r="AB38" s="205"/>
      <c r="AC38" s="205"/>
      <c r="AD38" s="206"/>
    </row>
    <row r="39" spans="2:30" ht="53.25" customHeight="1" thickBot="1" x14ac:dyDescent="0.25">
      <c r="B39" s="191"/>
      <c r="C39" s="47" t="s">
        <v>118</v>
      </c>
      <c r="D39" s="233"/>
      <c r="E39" s="192"/>
      <c r="F39" s="227"/>
      <c r="G39" s="160">
        <v>1</v>
      </c>
      <c r="H39" s="160"/>
      <c r="I39" s="160"/>
      <c r="J39" s="160"/>
      <c r="K39" s="160"/>
      <c r="L39" s="160"/>
      <c r="M39" s="160"/>
      <c r="N39" s="160"/>
      <c r="O39" s="160"/>
      <c r="P39" s="160"/>
      <c r="Q39" s="160"/>
      <c r="R39" s="160"/>
      <c r="S39" s="35">
        <f t="shared" si="1"/>
        <v>1</v>
      </c>
      <c r="T39" s="128">
        <v>43</v>
      </c>
      <c r="U39" s="128"/>
      <c r="W39" s="62" t="s">
        <v>71</v>
      </c>
      <c r="X39" s="204" t="s">
        <v>76</v>
      </c>
      <c r="Y39" s="205"/>
      <c r="Z39" s="205"/>
      <c r="AA39" s="205"/>
      <c r="AB39" s="205"/>
      <c r="AC39" s="205"/>
      <c r="AD39" s="206"/>
    </row>
    <row r="40" spans="2:30" ht="36.75" thickBot="1" x14ac:dyDescent="0.25">
      <c r="B40" s="189" t="s">
        <v>119</v>
      </c>
      <c r="C40" s="48" t="s">
        <v>120</v>
      </c>
      <c r="D40" s="184">
        <v>5</v>
      </c>
      <c r="E40" s="188">
        <f>(D40/D49)*100</f>
        <v>19.230769230769234</v>
      </c>
      <c r="F40" s="221">
        <f>(S49/D49)*D40</f>
        <v>10</v>
      </c>
      <c r="G40" s="131">
        <v>2</v>
      </c>
      <c r="H40" s="131"/>
      <c r="I40" s="131"/>
      <c r="J40" s="131"/>
      <c r="K40" s="131"/>
      <c r="L40" s="131"/>
      <c r="M40" s="131"/>
      <c r="N40" s="131"/>
      <c r="O40" s="131"/>
      <c r="P40" s="131"/>
      <c r="Q40" s="131"/>
      <c r="R40" s="131"/>
      <c r="S40" s="35">
        <f t="shared" si="1"/>
        <v>2</v>
      </c>
      <c r="T40" s="131" t="s">
        <v>88</v>
      </c>
      <c r="U40" s="131"/>
      <c r="W40" s="62" t="s">
        <v>72</v>
      </c>
      <c r="X40" s="204" t="s">
        <v>73</v>
      </c>
      <c r="Y40" s="205"/>
      <c r="Z40" s="205"/>
      <c r="AA40" s="205"/>
      <c r="AB40" s="205"/>
      <c r="AC40" s="205"/>
      <c r="AD40" s="206"/>
    </row>
    <row r="41" spans="2:30" ht="48" x14ac:dyDescent="0.2">
      <c r="B41" s="190"/>
      <c r="C41" s="47" t="s">
        <v>121</v>
      </c>
      <c r="D41" s="185"/>
      <c r="E41" s="187"/>
      <c r="F41" s="222"/>
      <c r="G41" s="131"/>
      <c r="H41" s="131"/>
      <c r="I41" s="131">
        <v>2</v>
      </c>
      <c r="J41" s="131"/>
      <c r="K41" s="131"/>
      <c r="L41" s="131"/>
      <c r="M41" s="131"/>
      <c r="N41" s="131"/>
      <c r="O41" s="131"/>
      <c r="P41" s="131"/>
      <c r="Q41" s="131"/>
      <c r="R41" s="131"/>
      <c r="S41" s="35">
        <f t="shared" si="1"/>
        <v>2</v>
      </c>
      <c r="T41" s="131">
        <v>46</v>
      </c>
      <c r="U41" s="131"/>
      <c r="X41" s="16"/>
      <c r="Y41" s="17"/>
    </row>
    <row r="42" spans="2:30" ht="48" x14ac:dyDescent="0.2">
      <c r="B42" s="190"/>
      <c r="C42" s="47" t="s">
        <v>122</v>
      </c>
      <c r="D42" s="185"/>
      <c r="E42" s="187"/>
      <c r="F42" s="222"/>
      <c r="G42" s="131"/>
      <c r="H42" s="131"/>
      <c r="I42" s="131">
        <v>2</v>
      </c>
      <c r="J42" s="131"/>
      <c r="K42" s="131"/>
      <c r="L42" s="131"/>
      <c r="M42" s="131"/>
      <c r="N42" s="131"/>
      <c r="O42" s="131"/>
      <c r="P42" s="131"/>
      <c r="Q42" s="131"/>
      <c r="R42" s="131"/>
      <c r="S42" s="35">
        <f t="shared" si="1"/>
        <v>2</v>
      </c>
      <c r="T42" s="131" t="s">
        <v>89</v>
      </c>
      <c r="U42" s="131"/>
      <c r="X42" s="16"/>
      <c r="Y42" s="17"/>
    </row>
    <row r="43" spans="2:30" ht="57" customHeight="1" x14ac:dyDescent="0.2">
      <c r="B43" s="190"/>
      <c r="C43" s="47" t="s">
        <v>123</v>
      </c>
      <c r="D43" s="185"/>
      <c r="E43" s="187"/>
      <c r="F43" s="222"/>
      <c r="G43" s="131"/>
      <c r="H43" s="131"/>
      <c r="I43" s="131">
        <v>2</v>
      </c>
      <c r="J43" s="131"/>
      <c r="K43" s="131"/>
      <c r="L43" s="131"/>
      <c r="M43" s="131"/>
      <c r="N43" s="131"/>
      <c r="O43" s="131"/>
      <c r="P43" s="131"/>
      <c r="Q43" s="131"/>
      <c r="R43" s="131"/>
      <c r="S43" s="35">
        <f t="shared" si="1"/>
        <v>2</v>
      </c>
      <c r="T43" s="131" t="s">
        <v>90</v>
      </c>
      <c r="U43" s="131"/>
      <c r="X43" s="16"/>
      <c r="Y43" s="17"/>
    </row>
    <row r="44" spans="2:30" ht="189.75" customHeight="1" x14ac:dyDescent="0.2">
      <c r="B44" s="191"/>
      <c r="C44" s="43" t="s">
        <v>124</v>
      </c>
      <c r="D44" s="179"/>
      <c r="E44" s="192"/>
      <c r="F44" s="227"/>
      <c r="G44" s="131">
        <v>2</v>
      </c>
      <c r="H44" s="131"/>
      <c r="I44" s="131"/>
      <c r="J44" s="131"/>
      <c r="K44" s="131"/>
      <c r="L44" s="131"/>
      <c r="M44" s="131"/>
      <c r="N44" s="131"/>
      <c r="O44" s="131"/>
      <c r="P44" s="131"/>
      <c r="Q44" s="131"/>
      <c r="R44" s="131"/>
      <c r="S44" s="35">
        <f t="shared" si="1"/>
        <v>2</v>
      </c>
      <c r="T44" s="131">
        <v>39</v>
      </c>
      <c r="U44" s="131"/>
      <c r="X44" s="16"/>
      <c r="Y44" s="17"/>
    </row>
    <row r="45" spans="2:30" ht="12" hidden="1" customHeight="1" x14ac:dyDescent="0.2">
      <c r="B45" s="31"/>
      <c r="C45" s="43"/>
      <c r="D45" s="33"/>
      <c r="E45" s="34"/>
      <c r="F45" s="35"/>
      <c r="G45" s="52"/>
      <c r="H45" s="50"/>
      <c r="I45" s="52"/>
      <c r="J45" s="50"/>
      <c r="K45" s="52"/>
      <c r="L45" s="50"/>
      <c r="M45" s="52"/>
      <c r="N45" s="50"/>
      <c r="O45" s="52"/>
      <c r="P45" s="50"/>
      <c r="Q45" s="52"/>
      <c r="R45" s="50"/>
      <c r="S45" s="44"/>
      <c r="T45" s="52"/>
      <c r="U45" s="53"/>
      <c r="X45" s="16"/>
      <c r="Y45" s="17"/>
    </row>
    <row r="46" spans="2:30" ht="12" hidden="1" customHeight="1" x14ac:dyDescent="0.2">
      <c r="B46" s="31"/>
      <c r="C46" s="32"/>
      <c r="D46" s="33"/>
      <c r="E46" s="34">
        <f>(S46/S49)*100</f>
        <v>0</v>
      </c>
      <c r="F46" s="35">
        <f>(S52/D49)*D46</f>
        <v>0</v>
      </c>
      <c r="G46" s="132"/>
      <c r="H46" s="133"/>
      <c r="I46" s="131"/>
      <c r="J46" s="131"/>
      <c r="K46" s="131"/>
      <c r="L46" s="131"/>
      <c r="M46" s="132"/>
      <c r="N46" s="133"/>
      <c r="O46" s="132"/>
      <c r="P46" s="133"/>
      <c r="Q46" s="132"/>
      <c r="R46" s="133"/>
      <c r="S46" s="34">
        <f t="shared" si="1"/>
        <v>0</v>
      </c>
      <c r="T46" s="132"/>
      <c r="U46" s="137"/>
      <c r="X46" s="10"/>
      <c r="Y46" s="11"/>
    </row>
    <row r="47" spans="2:30" hidden="1" x14ac:dyDescent="0.2">
      <c r="B47" s="31"/>
      <c r="C47" s="32"/>
      <c r="D47" s="33"/>
      <c r="E47" s="34">
        <f>(S47/S49)*100</f>
        <v>0</v>
      </c>
      <c r="F47" s="35">
        <f>(S53/D49)*D47</f>
        <v>0</v>
      </c>
      <c r="G47" s="132"/>
      <c r="H47" s="133"/>
      <c r="I47" s="132"/>
      <c r="J47" s="133"/>
      <c r="K47" s="132"/>
      <c r="L47" s="133"/>
      <c r="M47" s="132"/>
      <c r="N47" s="133"/>
      <c r="O47" s="132"/>
      <c r="P47" s="133"/>
      <c r="Q47" s="132"/>
      <c r="R47" s="133"/>
      <c r="S47" s="34">
        <f t="shared" si="1"/>
        <v>0</v>
      </c>
      <c r="T47" s="132"/>
      <c r="U47" s="137"/>
      <c r="X47" s="10"/>
      <c r="Y47" s="11"/>
    </row>
    <row r="48" spans="2:30" hidden="1" x14ac:dyDescent="0.2">
      <c r="B48" s="36"/>
      <c r="C48" s="37"/>
      <c r="D48" s="33"/>
      <c r="E48" s="34">
        <f>(S48/S49)*100</f>
        <v>0</v>
      </c>
      <c r="F48" s="35">
        <f>(S58/D49)*D48</f>
        <v>0</v>
      </c>
      <c r="G48" s="131"/>
      <c r="H48" s="131"/>
      <c r="I48" s="131"/>
      <c r="J48" s="131"/>
      <c r="K48" s="131"/>
      <c r="L48" s="131"/>
      <c r="M48" s="131"/>
      <c r="N48" s="131"/>
      <c r="O48" s="131"/>
      <c r="P48" s="131"/>
      <c r="Q48" s="131"/>
      <c r="R48" s="131"/>
      <c r="S48" s="34">
        <f t="shared" si="1"/>
        <v>0</v>
      </c>
      <c r="T48" s="131"/>
      <c r="U48" s="138"/>
      <c r="X48" s="12"/>
      <c r="Y48" s="2"/>
    </row>
    <row r="49" spans="2:23" s="13" customFormat="1" ht="27" customHeight="1" thickBot="1" x14ac:dyDescent="0.3">
      <c r="B49" s="139" t="s">
        <v>35</v>
      </c>
      <c r="C49" s="140"/>
      <c r="D49" s="38">
        <f>SUM(D19:D48)</f>
        <v>26</v>
      </c>
      <c r="E49" s="56">
        <f>SUM(E19:E44)</f>
        <v>100</v>
      </c>
      <c r="F49" s="56">
        <f>SUM(F19:F48)</f>
        <v>52</v>
      </c>
      <c r="G49" s="180">
        <f>SUM(G19:G48)</f>
        <v>26</v>
      </c>
      <c r="H49" s="181"/>
      <c r="I49" s="180">
        <f>SUM(I19:I48)</f>
        <v>22</v>
      </c>
      <c r="J49" s="181"/>
      <c r="K49" s="180">
        <f>SUM(K19:K48)</f>
        <v>1</v>
      </c>
      <c r="L49" s="181"/>
      <c r="M49" s="180">
        <f>SUM(M19:M48)</f>
        <v>3</v>
      </c>
      <c r="N49" s="181"/>
      <c r="O49" s="180">
        <f>SUM(O19:O48)</f>
        <v>0</v>
      </c>
      <c r="P49" s="181"/>
      <c r="Q49" s="180">
        <f>SUM(Q19:Q48)</f>
        <v>0</v>
      </c>
      <c r="R49" s="181"/>
      <c r="S49" s="57">
        <v>52</v>
      </c>
      <c r="T49" s="143">
        <v>50</v>
      </c>
      <c r="U49" s="144"/>
      <c r="V49" s="22"/>
      <c r="W49" s="22"/>
    </row>
    <row r="50" spans="2:23" ht="4.5" customHeight="1" thickBot="1" x14ac:dyDescent="0.25">
      <c r="B50" s="145"/>
      <c r="C50" s="145"/>
      <c r="D50" s="145"/>
      <c r="E50" s="145"/>
      <c r="F50" s="145"/>
      <c r="G50" s="145"/>
      <c r="H50" s="145"/>
      <c r="I50" s="145"/>
      <c r="J50" s="145"/>
      <c r="K50" s="145"/>
      <c r="L50" s="145"/>
      <c r="M50" s="145"/>
      <c r="N50" s="145"/>
      <c r="O50" s="145"/>
      <c r="P50" s="145"/>
      <c r="Q50" s="145"/>
      <c r="R50" s="145"/>
      <c r="S50" s="145"/>
      <c r="T50" s="145"/>
      <c r="U50" s="145"/>
    </row>
    <row r="51" spans="2:23" ht="27" customHeight="1" x14ac:dyDescent="0.2">
      <c r="B51" s="146" t="s">
        <v>24</v>
      </c>
      <c r="C51" s="147"/>
      <c r="D51" s="147"/>
      <c r="E51" s="147"/>
      <c r="F51" s="147" t="s">
        <v>25</v>
      </c>
      <c r="G51" s="147"/>
      <c r="H51" s="147"/>
      <c r="I51" s="147"/>
      <c r="J51" s="147"/>
      <c r="K51" s="148"/>
      <c r="L51" s="148"/>
      <c r="M51" s="148"/>
      <c r="N51" s="148"/>
      <c r="O51" s="148"/>
      <c r="P51" s="147" t="s">
        <v>26</v>
      </c>
      <c r="Q51" s="147"/>
      <c r="R51" s="147"/>
      <c r="S51" s="147"/>
      <c r="T51" s="147"/>
      <c r="U51" s="149"/>
    </row>
    <row r="52" spans="2:23" s="14" customFormat="1" ht="17.25" customHeight="1" x14ac:dyDescent="0.2">
      <c r="B52" s="150" t="s">
        <v>42</v>
      </c>
      <c r="C52" s="151"/>
      <c r="D52" s="151"/>
      <c r="E52" s="151"/>
      <c r="F52" s="152" t="s">
        <v>46</v>
      </c>
      <c r="G52" s="151"/>
      <c r="H52" s="151"/>
      <c r="I52" s="151"/>
      <c r="J52" s="151"/>
      <c r="K52" s="152" t="s">
        <v>30</v>
      </c>
      <c r="L52" s="152"/>
      <c r="M52" s="152"/>
      <c r="N52" s="152"/>
      <c r="O52" s="152"/>
      <c r="P52" s="152" t="s">
        <v>29</v>
      </c>
      <c r="Q52" s="151"/>
      <c r="R52" s="151"/>
      <c r="S52" s="151"/>
      <c r="T52" s="151"/>
      <c r="U52" s="153"/>
    </row>
    <row r="53" spans="2:23" ht="11.25" customHeight="1" x14ac:dyDescent="0.2">
      <c r="B53" s="97" t="s">
        <v>27</v>
      </c>
      <c r="C53" s="98"/>
      <c r="D53" s="98"/>
      <c r="E53" s="98"/>
      <c r="F53" s="98" t="s">
        <v>40</v>
      </c>
      <c r="G53" s="98"/>
      <c r="H53" s="98"/>
      <c r="I53" s="98"/>
      <c r="J53" s="98"/>
      <c r="K53" s="98" t="s">
        <v>41</v>
      </c>
      <c r="L53" s="98"/>
      <c r="M53" s="98"/>
      <c r="N53" s="98"/>
      <c r="O53" s="98"/>
      <c r="P53" s="98" t="s">
        <v>28</v>
      </c>
      <c r="Q53" s="98"/>
      <c r="R53" s="98"/>
      <c r="S53" s="98"/>
      <c r="T53" s="98"/>
      <c r="U53" s="99"/>
    </row>
    <row r="54" spans="2:23" ht="11.25" hidden="1" customHeight="1" x14ac:dyDescent="0.2">
      <c r="B54" s="63"/>
      <c r="C54" s="21"/>
      <c r="D54" s="21"/>
      <c r="E54" s="21"/>
      <c r="F54" s="21"/>
      <c r="G54" s="21"/>
      <c r="H54" s="21"/>
      <c r="I54" s="21"/>
      <c r="J54" s="21"/>
      <c r="K54" s="21"/>
      <c r="L54" s="21"/>
      <c r="M54" s="21"/>
      <c r="N54" s="21"/>
      <c r="O54" s="21"/>
      <c r="P54" s="21"/>
      <c r="Q54" s="21"/>
      <c r="R54" s="21"/>
      <c r="S54" s="21"/>
      <c r="T54" s="21"/>
      <c r="U54" s="64"/>
    </row>
    <row r="55" spans="2:23" ht="11.25" hidden="1" customHeight="1" x14ac:dyDescent="0.2">
      <c r="B55" s="63"/>
      <c r="C55" s="21"/>
      <c r="D55" s="21"/>
      <c r="E55" s="21"/>
      <c r="F55" s="21"/>
      <c r="G55" s="21"/>
      <c r="H55" s="21"/>
      <c r="I55" s="21"/>
      <c r="J55" s="21"/>
      <c r="K55" s="21"/>
      <c r="L55" s="21"/>
      <c r="M55" s="21"/>
      <c r="N55" s="21"/>
      <c r="O55" s="21"/>
      <c r="P55" s="21"/>
      <c r="Q55" s="21"/>
      <c r="R55" s="21"/>
      <c r="S55" s="21"/>
      <c r="T55" s="21"/>
      <c r="U55" s="64"/>
    </row>
    <row r="56" spans="2:23" ht="11.25" hidden="1" customHeight="1" x14ac:dyDescent="0.2">
      <c r="B56" s="63"/>
      <c r="C56" s="65" t="s">
        <v>91</v>
      </c>
      <c r="D56" s="21"/>
      <c r="E56" s="21"/>
      <c r="F56" s="21"/>
      <c r="G56" s="21"/>
      <c r="H56" s="21"/>
      <c r="I56" s="21"/>
      <c r="J56" s="21"/>
      <c r="K56" s="21"/>
      <c r="L56" s="21"/>
      <c r="M56" s="21"/>
      <c r="N56" s="21"/>
      <c r="O56" s="21"/>
      <c r="P56" s="21"/>
      <c r="Q56" s="21"/>
      <c r="R56" s="21"/>
      <c r="S56" s="21"/>
      <c r="T56" s="21"/>
      <c r="U56" s="64"/>
    </row>
    <row r="57" spans="2:23" ht="11.25" hidden="1" customHeight="1" x14ac:dyDescent="0.2">
      <c r="B57" s="63"/>
      <c r="C57" s="21" t="s">
        <v>27</v>
      </c>
      <c r="D57" s="21"/>
      <c r="E57" s="21"/>
      <c r="F57" s="21"/>
      <c r="G57" s="21"/>
      <c r="H57" s="21"/>
      <c r="I57" s="21"/>
      <c r="J57" s="21"/>
      <c r="K57" s="21"/>
      <c r="L57" s="21"/>
      <c r="M57" s="21"/>
      <c r="N57" s="21"/>
      <c r="O57" s="21"/>
      <c r="P57" s="21"/>
      <c r="Q57" s="21"/>
      <c r="R57" s="21"/>
      <c r="S57" s="21"/>
      <c r="T57" s="21"/>
      <c r="U57" s="64"/>
    </row>
    <row r="58" spans="2:23" ht="9.75" customHeight="1" thickBot="1" x14ac:dyDescent="0.25">
      <c r="B58" s="6"/>
      <c r="C58" s="7"/>
      <c r="D58" s="7"/>
      <c r="E58" s="7"/>
      <c r="F58" s="7"/>
      <c r="G58" s="7"/>
      <c r="H58" s="7"/>
      <c r="I58" s="7"/>
      <c r="J58" s="7"/>
      <c r="K58" s="7"/>
      <c r="L58" s="7"/>
      <c r="M58" s="7"/>
      <c r="N58" s="7"/>
      <c r="O58" s="7"/>
      <c r="P58" s="7"/>
      <c r="Q58" s="7"/>
      <c r="R58" s="7"/>
      <c r="S58" s="7"/>
      <c r="T58" s="7"/>
      <c r="U58" s="8"/>
    </row>
  </sheetData>
  <mergeCells count="292">
    <mergeCell ref="B53:E53"/>
    <mergeCell ref="F53:J53"/>
    <mergeCell ref="K53:O53"/>
    <mergeCell ref="P53:U53"/>
    <mergeCell ref="B50:U50"/>
    <mergeCell ref="B51:E51"/>
    <mergeCell ref="F51:J51"/>
    <mergeCell ref="K51:O51"/>
    <mergeCell ref="P51:U51"/>
    <mergeCell ref="B52:E52"/>
    <mergeCell ref="F52:J52"/>
    <mergeCell ref="K52:O52"/>
    <mergeCell ref="P52:U52"/>
    <mergeCell ref="T48:U48"/>
    <mergeCell ref="B49:C49"/>
    <mergeCell ref="G49:H49"/>
    <mergeCell ref="I49:J49"/>
    <mergeCell ref="K49:L49"/>
    <mergeCell ref="M49:N49"/>
    <mergeCell ref="O49:P49"/>
    <mergeCell ref="Q49:R49"/>
    <mergeCell ref="T49:U49"/>
    <mergeCell ref="G48:H48"/>
    <mergeCell ref="I48:J48"/>
    <mergeCell ref="K48:L48"/>
    <mergeCell ref="M48:N48"/>
    <mergeCell ref="O48:P48"/>
    <mergeCell ref="Q48:R48"/>
    <mergeCell ref="T46:U46"/>
    <mergeCell ref="G47:H47"/>
    <mergeCell ref="I47:J47"/>
    <mergeCell ref="K47:L47"/>
    <mergeCell ref="M47:N47"/>
    <mergeCell ref="O47:P47"/>
    <mergeCell ref="Q47:R47"/>
    <mergeCell ref="T47:U47"/>
    <mergeCell ref="G46:H46"/>
    <mergeCell ref="I46:J46"/>
    <mergeCell ref="K46:L46"/>
    <mergeCell ref="M46:N46"/>
    <mergeCell ref="O46:P46"/>
    <mergeCell ref="Q46:R46"/>
    <mergeCell ref="O42:P42"/>
    <mergeCell ref="Q42:R42"/>
    <mergeCell ref="T42:U42"/>
    <mergeCell ref="O40:P40"/>
    <mergeCell ref="Q40:R40"/>
    <mergeCell ref="T40:U40"/>
    <mergeCell ref="T43:U43"/>
    <mergeCell ref="G44:H44"/>
    <mergeCell ref="I44:J44"/>
    <mergeCell ref="K44:L44"/>
    <mergeCell ref="M44:N44"/>
    <mergeCell ref="O44:P44"/>
    <mergeCell ref="Q44:R44"/>
    <mergeCell ref="T44:U44"/>
    <mergeCell ref="G43:H43"/>
    <mergeCell ref="I43:J43"/>
    <mergeCell ref="K43:L43"/>
    <mergeCell ref="M43:N43"/>
    <mergeCell ref="O43:P43"/>
    <mergeCell ref="Q43:R43"/>
    <mergeCell ref="X40:AD40"/>
    <mergeCell ref="G41:H41"/>
    <mergeCell ref="I41:J41"/>
    <mergeCell ref="K41:L41"/>
    <mergeCell ref="M41:N41"/>
    <mergeCell ref="O41:P41"/>
    <mergeCell ref="Q41:R41"/>
    <mergeCell ref="T39:U39"/>
    <mergeCell ref="X39:AD39"/>
    <mergeCell ref="O39:P39"/>
    <mergeCell ref="Q39:R39"/>
    <mergeCell ref="T41:U41"/>
    <mergeCell ref="B40:B44"/>
    <mergeCell ref="D40:D44"/>
    <mergeCell ref="E40:E44"/>
    <mergeCell ref="F40:F44"/>
    <mergeCell ref="G40:H40"/>
    <mergeCell ref="I40:J40"/>
    <mergeCell ref="K40:L40"/>
    <mergeCell ref="M40:N40"/>
    <mergeCell ref="G39:H39"/>
    <mergeCell ref="I39:J39"/>
    <mergeCell ref="K39:L39"/>
    <mergeCell ref="M39:N39"/>
    <mergeCell ref="G42:H42"/>
    <mergeCell ref="I42:J42"/>
    <mergeCell ref="K42:L42"/>
    <mergeCell ref="M42:N42"/>
    <mergeCell ref="B35:B39"/>
    <mergeCell ref="D35:D39"/>
    <mergeCell ref="E35:E39"/>
    <mergeCell ref="F35:F39"/>
    <mergeCell ref="M35:N35"/>
    <mergeCell ref="Q34:R34"/>
    <mergeCell ref="T34:U34"/>
    <mergeCell ref="W34:W36"/>
    <mergeCell ref="Q35:R35"/>
    <mergeCell ref="T35:U35"/>
    <mergeCell ref="T37:U37"/>
    <mergeCell ref="X37:AD37"/>
    <mergeCell ref="G38:H38"/>
    <mergeCell ref="I38:J38"/>
    <mergeCell ref="K38:L38"/>
    <mergeCell ref="M38:N38"/>
    <mergeCell ref="O38:P38"/>
    <mergeCell ref="Q38:R38"/>
    <mergeCell ref="T38:U38"/>
    <mergeCell ref="X38:AD38"/>
    <mergeCell ref="G37:H37"/>
    <mergeCell ref="I37:J37"/>
    <mergeCell ref="K37:L37"/>
    <mergeCell ref="M37:N37"/>
    <mergeCell ref="O37:P37"/>
    <mergeCell ref="Q37:R37"/>
    <mergeCell ref="G35:H35"/>
    <mergeCell ref="I35:J35"/>
    <mergeCell ref="K35:L35"/>
    <mergeCell ref="O35:P35"/>
    <mergeCell ref="M32:N32"/>
    <mergeCell ref="O32:P32"/>
    <mergeCell ref="Q32:R32"/>
    <mergeCell ref="T32:U32"/>
    <mergeCell ref="T36:U36"/>
    <mergeCell ref="W32:W33"/>
    <mergeCell ref="X32:AD33"/>
    <mergeCell ref="G33:H33"/>
    <mergeCell ref="I33:J33"/>
    <mergeCell ref="K33:L33"/>
    <mergeCell ref="M33:N33"/>
    <mergeCell ref="O33:P33"/>
    <mergeCell ref="Q33:R33"/>
    <mergeCell ref="T33:U33"/>
    <mergeCell ref="G36:H36"/>
    <mergeCell ref="I36:J36"/>
    <mergeCell ref="K36:L36"/>
    <mergeCell ref="M36:N36"/>
    <mergeCell ref="O36:P36"/>
    <mergeCell ref="Q36:R36"/>
    <mergeCell ref="X34:AD36"/>
    <mergeCell ref="K34:L34"/>
    <mergeCell ref="M34:N34"/>
    <mergeCell ref="O34:P34"/>
    <mergeCell ref="B30:B34"/>
    <mergeCell ref="D30:D34"/>
    <mergeCell ref="E30:E34"/>
    <mergeCell ref="F30:F34"/>
    <mergeCell ref="G30:H30"/>
    <mergeCell ref="I30:J30"/>
    <mergeCell ref="G34:H34"/>
    <mergeCell ref="I34:J34"/>
    <mergeCell ref="G32:H32"/>
    <mergeCell ref="I32:J32"/>
    <mergeCell ref="K32:L32"/>
    <mergeCell ref="K30:L30"/>
    <mergeCell ref="M30:N30"/>
    <mergeCell ref="O30:P30"/>
    <mergeCell ref="Q30:R30"/>
    <mergeCell ref="T30:U30"/>
    <mergeCell ref="G31:H31"/>
    <mergeCell ref="I31:J31"/>
    <mergeCell ref="K31:L31"/>
    <mergeCell ref="M31:N31"/>
    <mergeCell ref="O31:P31"/>
    <mergeCell ref="Q31:R31"/>
    <mergeCell ref="T31:U31"/>
    <mergeCell ref="O26:P26"/>
    <mergeCell ref="Q26:R26"/>
    <mergeCell ref="T26:U26"/>
    <mergeCell ref="X26:AD26"/>
    <mergeCell ref="X28:AD28"/>
    <mergeCell ref="G29:H29"/>
    <mergeCell ref="I29:J29"/>
    <mergeCell ref="K29:L29"/>
    <mergeCell ref="M29:N29"/>
    <mergeCell ref="O29:P29"/>
    <mergeCell ref="Q29:R29"/>
    <mergeCell ref="T29:U29"/>
    <mergeCell ref="X29:AD29"/>
    <mergeCell ref="G28:H28"/>
    <mergeCell ref="I28:J28"/>
    <mergeCell ref="K28:L28"/>
    <mergeCell ref="M28:N28"/>
    <mergeCell ref="O28:P28"/>
    <mergeCell ref="Q28:R28"/>
    <mergeCell ref="T28:U28"/>
    <mergeCell ref="K25:L25"/>
    <mergeCell ref="M25:N25"/>
    <mergeCell ref="O25:P25"/>
    <mergeCell ref="Q25:R25"/>
    <mergeCell ref="T25:U25"/>
    <mergeCell ref="X25:AD25"/>
    <mergeCell ref="B25:B29"/>
    <mergeCell ref="D25:D29"/>
    <mergeCell ref="E25:E29"/>
    <mergeCell ref="F25:F29"/>
    <mergeCell ref="G25:H25"/>
    <mergeCell ref="I25:J25"/>
    <mergeCell ref="G26:H26"/>
    <mergeCell ref="I26:J26"/>
    <mergeCell ref="G27:H27"/>
    <mergeCell ref="I27:J27"/>
    <mergeCell ref="K27:L27"/>
    <mergeCell ref="M27:N27"/>
    <mergeCell ref="O27:P27"/>
    <mergeCell ref="Q27:R27"/>
    <mergeCell ref="T27:U27"/>
    <mergeCell ref="X27:AD27"/>
    <mergeCell ref="K26:L26"/>
    <mergeCell ref="M26:N26"/>
    <mergeCell ref="G24:H24"/>
    <mergeCell ref="I24:J24"/>
    <mergeCell ref="K24:L24"/>
    <mergeCell ref="M24:N24"/>
    <mergeCell ref="O24:P24"/>
    <mergeCell ref="Q24:R24"/>
    <mergeCell ref="T24:U24"/>
    <mergeCell ref="Q22:R22"/>
    <mergeCell ref="T22:U22"/>
    <mergeCell ref="O21:P21"/>
    <mergeCell ref="Q21:R21"/>
    <mergeCell ref="T21:U21"/>
    <mergeCell ref="G22:H22"/>
    <mergeCell ref="I22:J22"/>
    <mergeCell ref="K22:L22"/>
    <mergeCell ref="M22:N22"/>
    <mergeCell ref="O22:P22"/>
    <mergeCell ref="T23:U23"/>
    <mergeCell ref="K20:L20"/>
    <mergeCell ref="M20:N20"/>
    <mergeCell ref="O20:P20"/>
    <mergeCell ref="Q20:R20"/>
    <mergeCell ref="T20:U20"/>
    <mergeCell ref="Y20:AC20"/>
    <mergeCell ref="B20:B24"/>
    <mergeCell ref="D20:D24"/>
    <mergeCell ref="E20:E24"/>
    <mergeCell ref="F20:F24"/>
    <mergeCell ref="G20:H20"/>
    <mergeCell ref="I20:J20"/>
    <mergeCell ref="G21:H21"/>
    <mergeCell ref="I21:J21"/>
    <mergeCell ref="W22:W24"/>
    <mergeCell ref="X22:AD24"/>
    <mergeCell ref="G23:H23"/>
    <mergeCell ref="I23:J23"/>
    <mergeCell ref="K23:L23"/>
    <mergeCell ref="M23:N23"/>
    <mergeCell ref="O23:P23"/>
    <mergeCell ref="Q23:R23"/>
    <mergeCell ref="K21:L21"/>
    <mergeCell ref="M21:N21"/>
    <mergeCell ref="Y18:AC18"/>
    <mergeCell ref="G19:H19"/>
    <mergeCell ref="I19:J19"/>
    <mergeCell ref="K19:L19"/>
    <mergeCell ref="M19:N19"/>
    <mergeCell ref="O19:P19"/>
    <mergeCell ref="Q19:R19"/>
    <mergeCell ref="T19:U19"/>
    <mergeCell ref="G17:H17"/>
    <mergeCell ref="I17:J17"/>
    <mergeCell ref="K17:L17"/>
    <mergeCell ref="M17:N17"/>
    <mergeCell ref="O17:P17"/>
    <mergeCell ref="Q17:R17"/>
    <mergeCell ref="C14:J14"/>
    <mergeCell ref="K14:M14"/>
    <mergeCell ref="N14:U14"/>
    <mergeCell ref="B16:B18"/>
    <mergeCell ref="C16:C18"/>
    <mergeCell ref="D16:D18"/>
    <mergeCell ref="E16:E18"/>
    <mergeCell ref="F16:F18"/>
    <mergeCell ref="G16:S16"/>
    <mergeCell ref="T16:U18"/>
    <mergeCell ref="S17:S18"/>
    <mergeCell ref="B10:U10"/>
    <mergeCell ref="B11:U11"/>
    <mergeCell ref="C12:J12"/>
    <mergeCell ref="K12:M12"/>
    <mergeCell ref="N12:U12"/>
    <mergeCell ref="C13:J13"/>
    <mergeCell ref="K13:M13"/>
    <mergeCell ref="N13:U13"/>
    <mergeCell ref="S1:T1"/>
    <mergeCell ref="S2:T2"/>
    <mergeCell ref="S3:T3"/>
    <mergeCell ref="B4:B9"/>
    <mergeCell ref="C4:U6"/>
    <mergeCell ref="C7:U8"/>
  </mergeCells>
  <pageMargins left="1.1811023622047245" right="0.19685039370078741" top="0.19685039370078741" bottom="0.19685039370078741" header="0.31496062992125984" footer="0.31496062992125984"/>
  <pageSetup paperSize="5" scale="80" orientation="landscape"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ADF85-B3C6-49A8-9FAE-7581C5692267}">
  <dimension ref="B3"/>
  <sheetViews>
    <sheetView workbookViewId="0">
      <selection activeCell="H13" sqref="H13"/>
    </sheetView>
  </sheetViews>
  <sheetFormatPr defaultRowHeight="15" x14ac:dyDescent="0.25"/>
  <cols>
    <col min="2" max="2" width="14.28515625" style="55" bestFit="1" customWidth="1"/>
  </cols>
  <sheetData>
    <row r="3" spans="2:2" x14ac:dyDescent="0.25">
      <c r="B3" s="55" t="s">
        <v>64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Sheet1</vt:lpstr>
      <vt:lpstr>WS 101</vt:lpstr>
      <vt:lpstr>Prod Man (2)</vt:lpstr>
      <vt:lpstr>Sheet4</vt:lpstr>
      <vt:lpstr>'Prod Man (2)'!Print_Area</vt:lpstr>
      <vt:lpstr>'WS 101'!Print_Area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jc velasco</dc:creator>
  <cp:lastModifiedBy>Microsoft 365</cp:lastModifiedBy>
  <cp:lastPrinted>2025-03-13T02:12:35Z</cp:lastPrinted>
  <dcterms:created xsi:type="dcterms:W3CDTF">2024-09-29T09:41:33Z</dcterms:created>
  <dcterms:modified xsi:type="dcterms:W3CDTF">2025-06-27T07:56:17Z</dcterms:modified>
</cp:coreProperties>
</file>